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Проекты\Проект по SQL\"/>
    </mc:Choice>
  </mc:AlternateContent>
  <xr:revisionPtr revIDLastSave="0" documentId="13_ncr:1_{AC1AAE03-C594-4AEB-B529-F72DD9932E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Результат запрос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19" i="1" l="1"/>
  <c r="Y521" i="1"/>
  <c r="X521" i="1"/>
  <c r="Y520" i="1"/>
  <c r="X520" i="1"/>
  <c r="Y519" i="1"/>
  <c r="X519" i="1"/>
  <c r="Y518" i="1"/>
  <c r="X518" i="1"/>
  <c r="Y517" i="1"/>
  <c r="X517" i="1"/>
  <c r="Y516" i="1"/>
  <c r="X516" i="1"/>
  <c r="Y515" i="1"/>
  <c r="X515" i="1"/>
  <c r="Y514" i="1"/>
  <c r="X514" i="1"/>
  <c r="Y513" i="1"/>
  <c r="X513" i="1"/>
  <c r="Y512" i="1"/>
  <c r="X512" i="1"/>
  <c r="Y511" i="1"/>
  <c r="X511" i="1"/>
  <c r="Y510" i="1"/>
  <c r="X510" i="1"/>
  <c r="Y509" i="1"/>
  <c r="X509" i="1"/>
  <c r="Y508" i="1"/>
  <c r="X508" i="1"/>
  <c r="Y507" i="1"/>
  <c r="X507" i="1"/>
  <c r="Y506" i="1"/>
  <c r="X506" i="1"/>
  <c r="Y505" i="1"/>
  <c r="X505" i="1"/>
  <c r="Y504" i="1"/>
  <c r="X504" i="1"/>
  <c r="Y503" i="1"/>
  <c r="X503" i="1"/>
  <c r="Y502" i="1"/>
  <c r="X502" i="1"/>
  <c r="Y501" i="1"/>
  <c r="X501" i="1"/>
  <c r="Y500" i="1"/>
  <c r="X500" i="1"/>
  <c r="Y499" i="1"/>
  <c r="X499" i="1"/>
  <c r="Y498" i="1"/>
  <c r="X498" i="1"/>
  <c r="Y497" i="1"/>
  <c r="X497" i="1"/>
  <c r="Y496" i="1"/>
  <c r="X496" i="1"/>
  <c r="Y495" i="1"/>
  <c r="X495" i="1"/>
  <c r="Y494" i="1"/>
  <c r="X494" i="1"/>
  <c r="Y493" i="1"/>
  <c r="X493" i="1"/>
  <c r="Y492" i="1"/>
  <c r="X492" i="1"/>
  <c r="Y491" i="1"/>
  <c r="X491" i="1"/>
  <c r="Y490" i="1"/>
  <c r="X490" i="1"/>
  <c r="Y489" i="1"/>
  <c r="X489" i="1"/>
  <c r="Y488" i="1"/>
  <c r="X488" i="1"/>
  <c r="Y487" i="1"/>
  <c r="X487" i="1"/>
  <c r="Y486" i="1"/>
  <c r="X486" i="1"/>
  <c r="Y485" i="1"/>
  <c r="X485" i="1"/>
  <c r="Y484" i="1"/>
  <c r="X484" i="1"/>
  <c r="Y483" i="1"/>
  <c r="X483" i="1"/>
  <c r="Y482" i="1"/>
  <c r="X482" i="1"/>
  <c r="Y481" i="1"/>
  <c r="X481" i="1"/>
  <c r="Y480" i="1"/>
  <c r="X480" i="1"/>
  <c r="Y479" i="1"/>
  <c r="X479" i="1"/>
  <c r="Y478" i="1"/>
  <c r="X478" i="1"/>
  <c r="Y477" i="1"/>
  <c r="X477" i="1"/>
  <c r="Y476" i="1"/>
  <c r="X476" i="1"/>
  <c r="Y475" i="1"/>
  <c r="X475" i="1"/>
  <c r="Y474" i="1"/>
  <c r="X474" i="1"/>
  <c r="Y473" i="1"/>
  <c r="X473" i="1"/>
  <c r="Y472" i="1"/>
  <c r="X472" i="1"/>
  <c r="Y471" i="1"/>
  <c r="X471" i="1"/>
  <c r="Y470" i="1"/>
  <c r="X470" i="1"/>
  <c r="Y469" i="1"/>
  <c r="X469" i="1"/>
  <c r="Y468" i="1"/>
  <c r="X468" i="1"/>
  <c r="Y467" i="1"/>
  <c r="X467" i="1"/>
  <c r="Y466" i="1"/>
  <c r="X466" i="1"/>
  <c r="Y465" i="1"/>
  <c r="X465" i="1"/>
  <c r="Y464" i="1"/>
  <c r="X464" i="1"/>
  <c r="Y463" i="1"/>
  <c r="X463" i="1"/>
  <c r="Y462" i="1"/>
  <c r="X462" i="1"/>
  <c r="Y461" i="1"/>
  <c r="X461" i="1"/>
  <c r="Y460" i="1"/>
  <c r="X460" i="1"/>
  <c r="Y459" i="1"/>
  <c r="X459" i="1"/>
  <c r="Y458" i="1"/>
  <c r="X458" i="1"/>
  <c r="Y457" i="1"/>
  <c r="X457" i="1"/>
  <c r="Y456" i="1"/>
  <c r="X456" i="1"/>
  <c r="Y455" i="1"/>
  <c r="X455" i="1"/>
  <c r="Y454" i="1"/>
  <c r="X454" i="1"/>
  <c r="Y453" i="1"/>
  <c r="X453" i="1"/>
  <c r="Y452" i="1"/>
  <c r="X452" i="1"/>
  <c r="Y451" i="1"/>
  <c r="X451" i="1"/>
  <c r="Y450" i="1"/>
  <c r="X450" i="1"/>
  <c r="Y449" i="1"/>
  <c r="X449" i="1"/>
  <c r="Y448" i="1"/>
  <c r="X448" i="1"/>
  <c r="Y447" i="1"/>
  <c r="X447" i="1"/>
  <c r="Y446" i="1"/>
  <c r="X446" i="1"/>
  <c r="Y445" i="1"/>
  <c r="X445" i="1"/>
  <c r="Y444" i="1"/>
  <c r="X444" i="1"/>
  <c r="Y443" i="1"/>
  <c r="X443" i="1"/>
  <c r="Y442" i="1"/>
  <c r="X442" i="1"/>
  <c r="Y441" i="1"/>
  <c r="X441" i="1"/>
  <c r="Y440" i="1"/>
  <c r="X440" i="1"/>
  <c r="Y439" i="1"/>
  <c r="X439" i="1"/>
  <c r="Y438" i="1"/>
  <c r="X438" i="1"/>
  <c r="Y437" i="1"/>
  <c r="X437" i="1"/>
  <c r="Y436" i="1"/>
  <c r="X436" i="1"/>
  <c r="Y435" i="1"/>
  <c r="X435" i="1"/>
  <c r="Y434" i="1"/>
  <c r="X434" i="1"/>
  <c r="Y433" i="1"/>
  <c r="X433" i="1"/>
  <c r="Y432" i="1"/>
  <c r="X432" i="1"/>
  <c r="Y431" i="1"/>
  <c r="X431" i="1"/>
  <c r="Y430" i="1"/>
  <c r="X430" i="1"/>
  <c r="Y429" i="1"/>
  <c r="X429" i="1"/>
  <c r="Y428" i="1"/>
  <c r="X428" i="1"/>
  <c r="Y427" i="1"/>
  <c r="X427" i="1"/>
  <c r="Y426" i="1"/>
  <c r="X426" i="1"/>
  <c r="Y425" i="1"/>
  <c r="X425" i="1"/>
  <c r="Y424" i="1"/>
  <c r="X424" i="1"/>
  <c r="Y423" i="1"/>
  <c r="X423" i="1"/>
  <c r="Y422" i="1"/>
  <c r="X422" i="1"/>
  <c r="Y421" i="1"/>
  <c r="X421" i="1"/>
  <c r="Y420" i="1"/>
  <c r="X420" i="1"/>
  <c r="Y419" i="1"/>
  <c r="X419" i="1"/>
  <c r="Y418" i="1"/>
  <c r="X418" i="1"/>
  <c r="Y417" i="1"/>
  <c r="X417" i="1"/>
  <c r="Y416" i="1"/>
  <c r="X416" i="1"/>
  <c r="Y415" i="1"/>
  <c r="X415" i="1"/>
  <c r="Y414" i="1"/>
  <c r="X414" i="1"/>
  <c r="Y413" i="1"/>
  <c r="X413" i="1"/>
  <c r="Y412" i="1"/>
  <c r="X412" i="1"/>
  <c r="Y411" i="1"/>
  <c r="X411" i="1"/>
  <c r="Y410" i="1"/>
  <c r="X410" i="1"/>
  <c r="Y409" i="1"/>
  <c r="X409" i="1"/>
  <c r="Y408" i="1"/>
  <c r="X408" i="1"/>
  <c r="Y407" i="1"/>
  <c r="X407" i="1"/>
  <c r="Y406" i="1"/>
  <c r="X406" i="1"/>
  <c r="Y405" i="1"/>
  <c r="X405" i="1"/>
  <c r="Y404" i="1"/>
  <c r="X404" i="1"/>
  <c r="Y403" i="1"/>
  <c r="X403" i="1"/>
  <c r="Y402" i="1"/>
  <c r="X402" i="1"/>
  <c r="Y401" i="1"/>
  <c r="X401" i="1"/>
  <c r="Y400" i="1"/>
  <c r="X400" i="1"/>
  <c r="Y399" i="1"/>
  <c r="X399" i="1"/>
  <c r="Y398" i="1"/>
  <c r="X398" i="1"/>
  <c r="Y397" i="1"/>
  <c r="X397" i="1"/>
  <c r="Y396" i="1"/>
  <c r="X396" i="1"/>
  <c r="Y395" i="1"/>
  <c r="X395" i="1"/>
  <c r="Y394" i="1"/>
  <c r="X394" i="1"/>
  <c r="Y393" i="1"/>
  <c r="X393" i="1"/>
  <c r="Y392" i="1"/>
  <c r="X392" i="1"/>
  <c r="Y391" i="1"/>
  <c r="X391" i="1"/>
  <c r="Y390" i="1"/>
  <c r="X390" i="1"/>
  <c r="Y389" i="1"/>
  <c r="X389" i="1"/>
  <c r="Y388" i="1"/>
  <c r="X388" i="1"/>
  <c r="Y387" i="1"/>
  <c r="X387" i="1"/>
  <c r="Y386" i="1"/>
  <c r="X386" i="1"/>
  <c r="Y385" i="1"/>
  <c r="X385" i="1"/>
  <c r="Y384" i="1"/>
  <c r="X384" i="1"/>
  <c r="Y383" i="1"/>
  <c r="X383" i="1"/>
  <c r="AC383" i="1" s="1"/>
  <c r="AE383" i="1" s="1"/>
  <c r="Y382" i="1"/>
  <c r="X382" i="1"/>
  <c r="Y381" i="1"/>
  <c r="X381" i="1"/>
  <c r="Y380" i="1"/>
  <c r="X380" i="1"/>
  <c r="Y379" i="1"/>
  <c r="X379" i="1"/>
  <c r="Y378" i="1"/>
  <c r="X378" i="1"/>
  <c r="Y377" i="1"/>
  <c r="X377" i="1"/>
  <c r="Y376" i="1"/>
  <c r="X376" i="1"/>
  <c r="Y375" i="1"/>
  <c r="X375" i="1"/>
  <c r="Y374" i="1"/>
  <c r="X374" i="1"/>
  <c r="Y373" i="1"/>
  <c r="X373" i="1"/>
  <c r="Y372" i="1"/>
  <c r="X372" i="1"/>
  <c r="Y371" i="1"/>
  <c r="X371" i="1"/>
  <c r="Y370" i="1"/>
  <c r="X370" i="1"/>
  <c r="Y369" i="1"/>
  <c r="X369" i="1"/>
  <c r="Y368" i="1"/>
  <c r="X368" i="1"/>
  <c r="Y367" i="1"/>
  <c r="X367" i="1"/>
  <c r="Y366" i="1"/>
  <c r="X366" i="1"/>
  <c r="Y365" i="1"/>
  <c r="X365" i="1"/>
  <c r="Y364" i="1"/>
  <c r="X364" i="1"/>
  <c r="Y363" i="1"/>
  <c r="X363" i="1"/>
  <c r="Y362" i="1"/>
  <c r="X362" i="1"/>
  <c r="Y361" i="1"/>
  <c r="X361" i="1"/>
  <c r="Y360" i="1"/>
  <c r="X360" i="1"/>
  <c r="Y359" i="1"/>
  <c r="X359" i="1"/>
  <c r="Y358" i="1"/>
  <c r="X358" i="1"/>
  <c r="Y357" i="1"/>
  <c r="X357" i="1"/>
  <c r="Y356" i="1"/>
  <c r="X356" i="1"/>
  <c r="Y355" i="1"/>
  <c r="X355" i="1"/>
  <c r="Y354" i="1"/>
  <c r="X354" i="1"/>
  <c r="Y353" i="1"/>
  <c r="X353" i="1"/>
  <c r="Y352" i="1"/>
  <c r="X352" i="1"/>
  <c r="Y351" i="1"/>
  <c r="X351" i="1"/>
  <c r="Y350" i="1"/>
  <c r="X350" i="1"/>
  <c r="Y349" i="1"/>
  <c r="X349" i="1"/>
  <c r="Y348" i="1"/>
  <c r="X348" i="1"/>
  <c r="Y347" i="1"/>
  <c r="X347" i="1"/>
  <c r="Y346" i="1"/>
  <c r="X346" i="1"/>
  <c r="Y345" i="1"/>
  <c r="X345" i="1"/>
  <c r="Y344" i="1"/>
  <c r="X344" i="1"/>
  <c r="Y343" i="1"/>
  <c r="X343" i="1"/>
  <c r="Y342" i="1"/>
  <c r="X342" i="1"/>
  <c r="Y341" i="1"/>
  <c r="X341" i="1"/>
  <c r="AC340" i="1"/>
  <c r="AE340" i="1" s="1"/>
  <c r="Y340" i="1"/>
  <c r="X340" i="1"/>
  <c r="Y339" i="1"/>
  <c r="X339" i="1"/>
  <c r="Y338" i="1"/>
  <c r="AB338" i="1" s="1"/>
  <c r="AD338" i="1" s="1"/>
  <c r="X338" i="1"/>
  <c r="Y337" i="1"/>
  <c r="X337" i="1"/>
  <c r="Y336" i="1"/>
  <c r="X336" i="1"/>
  <c r="Y335" i="1"/>
  <c r="X335" i="1"/>
  <c r="Y334" i="1"/>
  <c r="X334" i="1"/>
  <c r="AC333" i="1"/>
  <c r="AE333" i="1" s="1"/>
  <c r="Y333" i="1"/>
  <c r="X333" i="1"/>
  <c r="AC332" i="1"/>
  <c r="AE332" i="1" s="1"/>
  <c r="Y332" i="1"/>
  <c r="X332" i="1"/>
  <c r="Y331" i="1"/>
  <c r="X331" i="1"/>
  <c r="Y330" i="1"/>
  <c r="AB330" i="1" s="1"/>
  <c r="AD330" i="1" s="1"/>
  <c r="X330" i="1"/>
  <c r="Y329" i="1"/>
  <c r="X329" i="1"/>
  <c r="Y328" i="1"/>
  <c r="X328" i="1"/>
  <c r="Y327" i="1"/>
  <c r="X327" i="1"/>
  <c r="Y326" i="1"/>
  <c r="X326" i="1"/>
  <c r="AC325" i="1"/>
  <c r="AE325" i="1" s="1"/>
  <c r="Y325" i="1"/>
  <c r="X325" i="1"/>
  <c r="AC324" i="1"/>
  <c r="AE324" i="1" s="1"/>
  <c r="Y324" i="1"/>
  <c r="X324" i="1"/>
  <c r="Y323" i="1"/>
  <c r="X323" i="1"/>
  <c r="Y322" i="1"/>
  <c r="AB322" i="1" s="1"/>
  <c r="AD322" i="1" s="1"/>
  <c r="X322" i="1"/>
  <c r="Y321" i="1"/>
  <c r="X321" i="1"/>
  <c r="Y320" i="1"/>
  <c r="X320" i="1"/>
  <c r="Y319" i="1"/>
  <c r="X319" i="1"/>
  <c r="Y318" i="1"/>
  <c r="X318" i="1"/>
  <c r="AC317" i="1"/>
  <c r="AE317" i="1" s="1"/>
  <c r="Y317" i="1"/>
  <c r="X317" i="1"/>
  <c r="AC316" i="1"/>
  <c r="AE316" i="1" s="1"/>
  <c r="Y316" i="1"/>
  <c r="X316" i="1"/>
  <c r="Y315" i="1"/>
  <c r="X315" i="1"/>
  <c r="Y314" i="1"/>
  <c r="AB314" i="1" s="1"/>
  <c r="AD314" i="1" s="1"/>
  <c r="X314" i="1"/>
  <c r="Y313" i="1"/>
  <c r="X313" i="1"/>
  <c r="Y312" i="1"/>
  <c r="X312" i="1"/>
  <c r="Y311" i="1"/>
  <c r="X311" i="1"/>
  <c r="Y310" i="1"/>
  <c r="X310" i="1"/>
  <c r="AC309" i="1"/>
  <c r="AE309" i="1" s="1"/>
  <c r="Y309" i="1"/>
  <c r="X309" i="1"/>
  <c r="AC308" i="1"/>
  <c r="AE308" i="1" s="1"/>
  <c r="Y308" i="1"/>
  <c r="X308" i="1"/>
  <c r="Y307" i="1"/>
  <c r="X307" i="1"/>
  <c r="AC306" i="1"/>
  <c r="AE306" i="1" s="1"/>
  <c r="Y306" i="1"/>
  <c r="X306" i="1"/>
  <c r="Y305" i="1"/>
  <c r="X305" i="1"/>
  <c r="AC304" i="1"/>
  <c r="AE304" i="1" s="1"/>
  <c r="Y304" i="1"/>
  <c r="X304" i="1"/>
  <c r="Y303" i="1"/>
  <c r="X303" i="1"/>
  <c r="AC302" i="1"/>
  <c r="AE302" i="1" s="1"/>
  <c r="Y302" i="1"/>
  <c r="X302" i="1"/>
  <c r="Y301" i="1"/>
  <c r="X301" i="1"/>
  <c r="AC300" i="1"/>
  <c r="AE300" i="1" s="1"/>
  <c r="Y300" i="1"/>
  <c r="X300" i="1"/>
  <c r="Y299" i="1"/>
  <c r="X299" i="1"/>
  <c r="AC298" i="1"/>
  <c r="AE298" i="1" s="1"/>
  <c r="Y298" i="1"/>
  <c r="X298" i="1"/>
  <c r="Y297" i="1"/>
  <c r="X297" i="1"/>
  <c r="AC296" i="1"/>
  <c r="AE296" i="1" s="1"/>
  <c r="Y296" i="1"/>
  <c r="X296" i="1"/>
  <c r="Y295" i="1"/>
  <c r="X295" i="1"/>
  <c r="AC294" i="1"/>
  <c r="AE294" i="1" s="1"/>
  <c r="Y294" i="1"/>
  <c r="X294" i="1"/>
  <c r="Y293" i="1"/>
  <c r="X293" i="1"/>
  <c r="AC292" i="1"/>
  <c r="AE292" i="1" s="1"/>
  <c r="Y292" i="1"/>
  <c r="X292" i="1"/>
  <c r="Y291" i="1"/>
  <c r="X291" i="1"/>
  <c r="AC290" i="1"/>
  <c r="AE290" i="1" s="1"/>
  <c r="Y290" i="1"/>
  <c r="X290" i="1"/>
  <c r="Y289" i="1"/>
  <c r="X289" i="1"/>
  <c r="AC288" i="1"/>
  <c r="AE288" i="1" s="1"/>
  <c r="Y288" i="1"/>
  <c r="X288" i="1"/>
  <c r="Y287" i="1"/>
  <c r="X287" i="1"/>
  <c r="AC286" i="1"/>
  <c r="AE286" i="1" s="1"/>
  <c r="Y286" i="1"/>
  <c r="X286" i="1"/>
  <c r="Y285" i="1"/>
  <c r="X285" i="1"/>
  <c r="AC284" i="1"/>
  <c r="AE284" i="1" s="1"/>
  <c r="Y284" i="1"/>
  <c r="X284" i="1"/>
  <c r="Y283" i="1"/>
  <c r="X283" i="1"/>
  <c r="AC282" i="1"/>
  <c r="AE282" i="1" s="1"/>
  <c r="Y282" i="1"/>
  <c r="X282" i="1"/>
  <c r="Y281" i="1"/>
  <c r="X281" i="1"/>
  <c r="Y280" i="1"/>
  <c r="X280" i="1"/>
  <c r="AC280" i="1" s="1"/>
  <c r="AE280" i="1" s="1"/>
  <c r="Y279" i="1"/>
  <c r="AB279" i="1" s="1"/>
  <c r="AD279" i="1" s="1"/>
  <c r="X279" i="1"/>
  <c r="Y278" i="1"/>
  <c r="X278" i="1"/>
  <c r="Y277" i="1"/>
  <c r="X277" i="1"/>
  <c r="Y276" i="1"/>
  <c r="X276" i="1"/>
  <c r="AC276" i="1" s="1"/>
  <c r="AE276" i="1" s="1"/>
  <c r="Y275" i="1"/>
  <c r="AB275" i="1" s="1"/>
  <c r="AD275" i="1" s="1"/>
  <c r="X275" i="1"/>
  <c r="Y274" i="1"/>
  <c r="X274" i="1"/>
  <c r="Y273" i="1"/>
  <c r="X273" i="1"/>
  <c r="Y272" i="1"/>
  <c r="X272" i="1"/>
  <c r="AC272" i="1" s="1"/>
  <c r="AE272" i="1" s="1"/>
  <c r="Y271" i="1"/>
  <c r="AB271" i="1" s="1"/>
  <c r="AD271" i="1" s="1"/>
  <c r="X271" i="1"/>
  <c r="Y270" i="1"/>
  <c r="X270" i="1"/>
  <c r="Y269" i="1"/>
  <c r="X269" i="1"/>
  <c r="Y268" i="1"/>
  <c r="X268" i="1"/>
  <c r="AC268" i="1" s="1"/>
  <c r="AE268" i="1" s="1"/>
  <c r="Y267" i="1"/>
  <c r="AB267" i="1" s="1"/>
  <c r="AD267" i="1" s="1"/>
  <c r="X267" i="1"/>
  <c r="Y266" i="1"/>
  <c r="X266" i="1"/>
  <c r="Y265" i="1"/>
  <c r="X265" i="1"/>
  <c r="Y264" i="1"/>
  <c r="X264" i="1"/>
  <c r="AC264" i="1" s="1"/>
  <c r="AE264" i="1" s="1"/>
  <c r="Y263" i="1"/>
  <c r="AB263" i="1" s="1"/>
  <c r="AD263" i="1" s="1"/>
  <c r="X263" i="1"/>
  <c r="Y262" i="1"/>
  <c r="X262" i="1"/>
  <c r="Q262" i="1"/>
  <c r="AC261" i="1"/>
  <c r="AE261" i="1" s="1"/>
  <c r="Y261" i="1"/>
  <c r="X261" i="1"/>
  <c r="Q261" i="1"/>
  <c r="Y260" i="1"/>
  <c r="AB260" i="1" s="1"/>
  <c r="AD260" i="1" s="1"/>
  <c r="X260" i="1"/>
  <c r="Q260" i="1"/>
  <c r="Y259" i="1"/>
  <c r="X259" i="1"/>
  <c r="Q259" i="1"/>
  <c r="Y258" i="1"/>
  <c r="X258" i="1"/>
  <c r="Q258" i="1"/>
  <c r="AC257" i="1"/>
  <c r="AE257" i="1" s="1"/>
  <c r="Y257" i="1"/>
  <c r="X257" i="1"/>
  <c r="Q257" i="1"/>
  <c r="Y256" i="1"/>
  <c r="AB256" i="1" s="1"/>
  <c r="AD256" i="1" s="1"/>
  <c r="X256" i="1"/>
  <c r="Q256" i="1"/>
  <c r="Y255" i="1"/>
  <c r="X255" i="1"/>
  <c r="Q255" i="1"/>
  <c r="Y254" i="1"/>
  <c r="X254" i="1"/>
  <c r="Q254" i="1"/>
  <c r="AC253" i="1"/>
  <c r="AE253" i="1" s="1"/>
  <c r="Y253" i="1"/>
  <c r="X253" i="1"/>
  <c r="Q253" i="1"/>
  <c r="Y252" i="1"/>
  <c r="AB252" i="1" s="1"/>
  <c r="AD252" i="1" s="1"/>
  <c r="X252" i="1"/>
  <c r="Q252" i="1"/>
  <c r="Y251" i="1"/>
  <c r="X251" i="1"/>
  <c r="Q251" i="1"/>
  <c r="Y250" i="1"/>
  <c r="X250" i="1"/>
  <c r="Q250" i="1"/>
  <c r="AC249" i="1"/>
  <c r="AE249" i="1" s="1"/>
  <c r="Y249" i="1"/>
  <c r="X249" i="1"/>
  <c r="Q249" i="1"/>
  <c r="Y248" i="1"/>
  <c r="AB248" i="1" s="1"/>
  <c r="AD248" i="1" s="1"/>
  <c r="X248" i="1"/>
  <c r="Q248" i="1"/>
  <c r="Y247" i="1"/>
  <c r="X247" i="1"/>
  <c r="Q247" i="1"/>
  <c r="Y246" i="1"/>
  <c r="X246" i="1"/>
  <c r="Q246" i="1"/>
  <c r="AC245" i="1"/>
  <c r="AE245" i="1" s="1"/>
  <c r="Y245" i="1"/>
  <c r="X245" i="1"/>
  <c r="Q245" i="1"/>
  <c r="Y244" i="1"/>
  <c r="AB244" i="1" s="1"/>
  <c r="AD244" i="1" s="1"/>
  <c r="X244" i="1"/>
  <c r="Q244" i="1"/>
  <c r="Y243" i="1"/>
  <c r="X243" i="1"/>
  <c r="Q243" i="1"/>
  <c r="Y242" i="1"/>
  <c r="X242" i="1"/>
  <c r="Q242" i="1"/>
  <c r="AC241" i="1"/>
  <c r="AE241" i="1" s="1"/>
  <c r="Y241" i="1"/>
  <c r="X241" i="1"/>
  <c r="Q241" i="1"/>
  <c r="Y240" i="1"/>
  <c r="AB240" i="1" s="1"/>
  <c r="AD240" i="1" s="1"/>
  <c r="X240" i="1"/>
  <c r="Q240" i="1"/>
  <c r="Y239" i="1"/>
  <c r="X239" i="1"/>
  <c r="Q239" i="1"/>
  <c r="Y238" i="1"/>
  <c r="X238" i="1"/>
  <c r="Q238" i="1"/>
  <c r="AC237" i="1"/>
  <c r="AE237" i="1" s="1"/>
  <c r="Y237" i="1"/>
  <c r="X237" i="1"/>
  <c r="Q237" i="1"/>
  <c r="Y236" i="1"/>
  <c r="AB236" i="1" s="1"/>
  <c r="AD236" i="1" s="1"/>
  <c r="X236" i="1"/>
  <c r="Q236" i="1"/>
  <c r="Y235" i="1"/>
  <c r="X235" i="1"/>
  <c r="Q235" i="1"/>
  <c r="Y234" i="1"/>
  <c r="X234" i="1"/>
  <c r="Q234" i="1"/>
  <c r="AC233" i="1"/>
  <c r="AE233" i="1" s="1"/>
  <c r="Y233" i="1"/>
  <c r="X233" i="1"/>
  <c r="Q233" i="1"/>
  <c r="Y232" i="1"/>
  <c r="AB232" i="1" s="1"/>
  <c r="AD232" i="1" s="1"/>
  <c r="X232" i="1"/>
  <c r="Q232" i="1"/>
  <c r="Y231" i="1"/>
  <c r="X231" i="1"/>
  <c r="Q231" i="1"/>
  <c r="Y230" i="1"/>
  <c r="X230" i="1"/>
  <c r="Q230" i="1"/>
  <c r="AC229" i="1"/>
  <c r="AE229" i="1" s="1"/>
  <c r="Y229" i="1"/>
  <c r="X229" i="1"/>
  <c r="Q229" i="1"/>
  <c r="Y228" i="1"/>
  <c r="AB228" i="1" s="1"/>
  <c r="AD228" i="1" s="1"/>
  <c r="X228" i="1"/>
  <c r="T228" i="1"/>
  <c r="Q228" i="1"/>
  <c r="Y227" i="1"/>
  <c r="AB227" i="1" s="1"/>
  <c r="AD227" i="1" s="1"/>
  <c r="X227" i="1"/>
  <c r="T227" i="1"/>
  <c r="Q227" i="1"/>
  <c r="AC226" i="1"/>
  <c r="AE226" i="1" s="1"/>
  <c r="Y226" i="1"/>
  <c r="X226" i="1"/>
  <c r="T226" i="1"/>
  <c r="Q226" i="1"/>
  <c r="Y225" i="1"/>
  <c r="X225" i="1"/>
  <c r="T225" i="1"/>
  <c r="Q225" i="1"/>
  <c r="Y224" i="1"/>
  <c r="X224" i="1"/>
  <c r="T224" i="1"/>
  <c r="Q224" i="1"/>
  <c r="Y223" i="1"/>
  <c r="X223" i="1"/>
  <c r="T223" i="1"/>
  <c r="Q223" i="1"/>
  <c r="Y222" i="1"/>
  <c r="X222" i="1"/>
  <c r="T222" i="1"/>
  <c r="Q222" i="1"/>
  <c r="Y221" i="1"/>
  <c r="X221" i="1"/>
  <c r="T221" i="1"/>
  <c r="Q221" i="1"/>
  <c r="Y220" i="1"/>
  <c r="X220" i="1"/>
  <c r="T220" i="1"/>
  <c r="Q220" i="1"/>
  <c r="AC219" i="1"/>
  <c r="AE219" i="1" s="1"/>
  <c r="AB219" i="1"/>
  <c r="Y219" i="1"/>
  <c r="X219" i="1"/>
  <c r="T219" i="1"/>
  <c r="AC378" i="1" s="1"/>
  <c r="AE378" i="1" s="1"/>
  <c r="Q219" i="1"/>
  <c r="AB521" i="1" l="1"/>
  <c r="AD521" i="1" s="1"/>
  <c r="AB517" i="1"/>
  <c r="AD517" i="1" s="1"/>
  <c r="AB513" i="1"/>
  <c r="AD513" i="1" s="1"/>
  <c r="AB509" i="1"/>
  <c r="AD509" i="1" s="1"/>
  <c r="AB505" i="1"/>
  <c r="AD505" i="1" s="1"/>
  <c r="AB519" i="1"/>
  <c r="AD519" i="1" s="1"/>
  <c r="AB515" i="1"/>
  <c r="AD515" i="1" s="1"/>
  <c r="AB511" i="1"/>
  <c r="AD511" i="1" s="1"/>
  <c r="AB507" i="1"/>
  <c r="AD507" i="1" s="1"/>
  <c r="AB503" i="1"/>
  <c r="AD503" i="1" s="1"/>
  <c r="AB501" i="1"/>
  <c r="AD501" i="1" s="1"/>
  <c r="AB499" i="1"/>
  <c r="AD499" i="1" s="1"/>
  <c r="AB497" i="1"/>
  <c r="AD497" i="1" s="1"/>
  <c r="AB495" i="1"/>
  <c r="AD495" i="1" s="1"/>
  <c r="AB493" i="1"/>
  <c r="AD493" i="1" s="1"/>
  <c r="AB491" i="1"/>
  <c r="AD491" i="1" s="1"/>
  <c r="AB489" i="1"/>
  <c r="AD489" i="1" s="1"/>
  <c r="AB487" i="1"/>
  <c r="AD487" i="1" s="1"/>
  <c r="AB485" i="1"/>
  <c r="AD485" i="1" s="1"/>
  <c r="AB483" i="1"/>
  <c r="AD483" i="1" s="1"/>
  <c r="AB481" i="1"/>
  <c r="AD481" i="1" s="1"/>
  <c r="AB479" i="1"/>
  <c r="AD479" i="1" s="1"/>
  <c r="AB477" i="1"/>
  <c r="AD477" i="1" s="1"/>
  <c r="AB475" i="1"/>
  <c r="AD475" i="1" s="1"/>
  <c r="AB473" i="1"/>
  <c r="AD473" i="1" s="1"/>
  <c r="AB471" i="1"/>
  <c r="AD471" i="1" s="1"/>
  <c r="AB469" i="1"/>
  <c r="AD469" i="1" s="1"/>
  <c r="AB463" i="1"/>
  <c r="AD463" i="1" s="1"/>
  <c r="AB447" i="1"/>
  <c r="AD447" i="1" s="1"/>
  <c r="AB467" i="1"/>
  <c r="AD467" i="1" s="1"/>
  <c r="AB451" i="1"/>
  <c r="AD451" i="1" s="1"/>
  <c r="AB434" i="1"/>
  <c r="AD434" i="1" s="1"/>
  <c r="AB430" i="1"/>
  <c r="AD430" i="1" s="1"/>
  <c r="AB426" i="1"/>
  <c r="AD426" i="1" s="1"/>
  <c r="AB422" i="1"/>
  <c r="AD422" i="1" s="1"/>
  <c r="AB420" i="1"/>
  <c r="AD420" i="1" s="1"/>
  <c r="AB416" i="1"/>
  <c r="AD416" i="1" s="1"/>
  <c r="AB412" i="1"/>
  <c r="AD412" i="1" s="1"/>
  <c r="AB408" i="1"/>
  <c r="AD408" i="1" s="1"/>
  <c r="AB404" i="1"/>
  <c r="AD404" i="1" s="1"/>
  <c r="AB400" i="1"/>
  <c r="AD400" i="1" s="1"/>
  <c r="AB396" i="1"/>
  <c r="AD396" i="1" s="1"/>
  <c r="AB392" i="1"/>
  <c r="AD392" i="1" s="1"/>
  <c r="AB388" i="1"/>
  <c r="AD388" i="1" s="1"/>
  <c r="AB384" i="1"/>
  <c r="AD384" i="1" s="1"/>
  <c r="AB380" i="1"/>
  <c r="AD380" i="1" s="1"/>
  <c r="AB455" i="1"/>
  <c r="AD455" i="1" s="1"/>
  <c r="AB439" i="1"/>
  <c r="AD439" i="1" s="1"/>
  <c r="AB424" i="1"/>
  <c r="AD424" i="1" s="1"/>
  <c r="AB414" i="1"/>
  <c r="AD414" i="1" s="1"/>
  <c r="AB398" i="1"/>
  <c r="AD398" i="1" s="1"/>
  <c r="AB382" i="1"/>
  <c r="AD382" i="1" s="1"/>
  <c r="AB436" i="1"/>
  <c r="AD436" i="1" s="1"/>
  <c r="AB418" i="1"/>
  <c r="AD418" i="1" s="1"/>
  <c r="AB402" i="1"/>
  <c r="AD402" i="1" s="1"/>
  <c r="AB386" i="1"/>
  <c r="AD386" i="1" s="1"/>
  <c r="AB443" i="1"/>
  <c r="AD443" i="1" s="1"/>
  <c r="AB432" i="1"/>
  <c r="AD432" i="1" s="1"/>
  <c r="AB406" i="1"/>
  <c r="AD406" i="1" s="1"/>
  <c r="AB390" i="1"/>
  <c r="AD390" i="1" s="1"/>
  <c r="AB221" i="1"/>
  <c r="AD221" i="1" s="1"/>
  <c r="AB225" i="1"/>
  <c r="AD225" i="1" s="1"/>
  <c r="AB258" i="1"/>
  <c r="AD258" i="1" s="1"/>
  <c r="AB266" i="1"/>
  <c r="AD266" i="1" s="1"/>
  <c r="AB278" i="1"/>
  <c r="AD278" i="1" s="1"/>
  <c r="AB291" i="1"/>
  <c r="AD291" i="1" s="1"/>
  <c r="AB299" i="1"/>
  <c r="AD299" i="1" s="1"/>
  <c r="AB307" i="1"/>
  <c r="AD307" i="1" s="1"/>
  <c r="AB318" i="1"/>
  <c r="AD318" i="1" s="1"/>
  <c r="AB331" i="1"/>
  <c r="AD331" i="1" s="1"/>
  <c r="AB334" i="1"/>
  <c r="AD334" i="1" s="1"/>
  <c r="AB220" i="1"/>
  <c r="AD220" i="1" s="1"/>
  <c r="AB234" i="1"/>
  <c r="AD234" i="1" s="1"/>
  <c r="AB242" i="1"/>
  <c r="AD242" i="1" s="1"/>
  <c r="AB254" i="1"/>
  <c r="AD254" i="1" s="1"/>
  <c r="AB265" i="1"/>
  <c r="AD265" i="1" s="1"/>
  <c r="AB269" i="1"/>
  <c r="AD269" i="1" s="1"/>
  <c r="AB273" i="1"/>
  <c r="AD273" i="1" s="1"/>
  <c r="AB281" i="1"/>
  <c r="AD281" i="1" s="1"/>
  <c r="AB289" i="1"/>
  <c r="AD289" i="1" s="1"/>
  <c r="AB305" i="1"/>
  <c r="AD305" i="1" s="1"/>
  <c r="AB310" i="1"/>
  <c r="AD310" i="1" s="1"/>
  <c r="AB419" i="1"/>
  <c r="AD419" i="1" s="1"/>
  <c r="AC220" i="1"/>
  <c r="AE220" i="1" s="1"/>
  <c r="AC222" i="1"/>
  <c r="AE222" i="1" s="1"/>
  <c r="AC225" i="1"/>
  <c r="AE225" i="1" s="1"/>
  <c r="AC230" i="1"/>
  <c r="AE230" i="1" s="1"/>
  <c r="AC235" i="1"/>
  <c r="AE235" i="1" s="1"/>
  <c r="AC238" i="1"/>
  <c r="AE238" i="1" s="1"/>
  <c r="AC239" i="1"/>
  <c r="AE239" i="1" s="1"/>
  <c r="AC243" i="1"/>
  <c r="AE243" i="1" s="1"/>
  <c r="AC246" i="1"/>
  <c r="AE246" i="1" s="1"/>
  <c r="AC247" i="1"/>
  <c r="AE247" i="1" s="1"/>
  <c r="AC250" i="1"/>
  <c r="AE250" i="1" s="1"/>
  <c r="AC251" i="1"/>
  <c r="AE251" i="1" s="1"/>
  <c r="AC254" i="1"/>
  <c r="AE254" i="1" s="1"/>
  <c r="AC255" i="1"/>
  <c r="AE255" i="1" s="1"/>
  <c r="AC258" i="1"/>
  <c r="AE258" i="1" s="1"/>
  <c r="AC259" i="1"/>
  <c r="AE259" i="1" s="1"/>
  <c r="AC262" i="1"/>
  <c r="AE262" i="1" s="1"/>
  <c r="AC265" i="1"/>
  <c r="AE265" i="1" s="1"/>
  <c r="AC266" i="1"/>
  <c r="AE266" i="1" s="1"/>
  <c r="AC269" i="1"/>
  <c r="AE269" i="1" s="1"/>
  <c r="AC270" i="1"/>
  <c r="AE270" i="1" s="1"/>
  <c r="AC273" i="1"/>
  <c r="AE273" i="1" s="1"/>
  <c r="AC274" i="1"/>
  <c r="AE274" i="1" s="1"/>
  <c r="AC277" i="1"/>
  <c r="AE277" i="1" s="1"/>
  <c r="AC278" i="1"/>
  <c r="AE278" i="1" s="1"/>
  <c r="AC311" i="1"/>
  <c r="AE311" i="1" s="1"/>
  <c r="AB312" i="1"/>
  <c r="AD312" i="1" s="1"/>
  <c r="AC319" i="1"/>
  <c r="AE319" i="1" s="1"/>
  <c r="AB320" i="1"/>
  <c r="AD320" i="1" s="1"/>
  <c r="AC327" i="1"/>
  <c r="AE327" i="1" s="1"/>
  <c r="AB328" i="1"/>
  <c r="AD328" i="1" s="1"/>
  <c r="AC335" i="1"/>
  <c r="AE335" i="1" s="1"/>
  <c r="AB336" i="1"/>
  <c r="AD336" i="1" s="1"/>
  <c r="AB342" i="1"/>
  <c r="AD342" i="1" s="1"/>
  <c r="AC347" i="1"/>
  <c r="AE347" i="1" s="1"/>
  <c r="AC374" i="1"/>
  <c r="AE374" i="1" s="1"/>
  <c r="AB394" i="1"/>
  <c r="AD394" i="1" s="1"/>
  <c r="AB403" i="1"/>
  <c r="AD403" i="1" s="1"/>
  <c r="AB468" i="1"/>
  <c r="AD468" i="1" s="1"/>
  <c r="AB470" i="1"/>
  <c r="AD470" i="1" s="1"/>
  <c r="AB472" i="1"/>
  <c r="AD472" i="1" s="1"/>
  <c r="AB474" i="1"/>
  <c r="AD474" i="1" s="1"/>
  <c r="AB476" i="1"/>
  <c r="AD476" i="1" s="1"/>
  <c r="AB478" i="1"/>
  <c r="AD478" i="1" s="1"/>
  <c r="AB480" i="1"/>
  <c r="AD480" i="1" s="1"/>
  <c r="AB482" i="1"/>
  <c r="AD482" i="1" s="1"/>
  <c r="AB484" i="1"/>
  <c r="AD484" i="1" s="1"/>
  <c r="AB486" i="1"/>
  <c r="AD486" i="1" s="1"/>
  <c r="AB488" i="1"/>
  <c r="AD488" i="1" s="1"/>
  <c r="AB490" i="1"/>
  <c r="AD490" i="1" s="1"/>
  <c r="AB492" i="1"/>
  <c r="AD492" i="1" s="1"/>
  <c r="AB494" i="1"/>
  <c r="AD494" i="1" s="1"/>
  <c r="AB496" i="1"/>
  <c r="AD496" i="1" s="1"/>
  <c r="AB498" i="1"/>
  <c r="AD498" i="1" s="1"/>
  <c r="AB500" i="1"/>
  <c r="AD500" i="1" s="1"/>
  <c r="AB502" i="1"/>
  <c r="AD502" i="1" s="1"/>
  <c r="AB223" i="1"/>
  <c r="AD223" i="1" s="1"/>
  <c r="AB238" i="1"/>
  <c r="AD238" i="1" s="1"/>
  <c r="AB246" i="1"/>
  <c r="AD246" i="1" s="1"/>
  <c r="AB274" i="1"/>
  <c r="AD274" i="1" s="1"/>
  <c r="AB285" i="1"/>
  <c r="AD285" i="1" s="1"/>
  <c r="AB293" i="1"/>
  <c r="AD293" i="1" s="1"/>
  <c r="AB297" i="1"/>
  <c r="AD297" i="1" s="1"/>
  <c r="AB301" i="1"/>
  <c r="AD301" i="1" s="1"/>
  <c r="AC221" i="1"/>
  <c r="AE221" i="1" s="1"/>
  <c r="AC223" i="1"/>
  <c r="AE223" i="1" s="1"/>
  <c r="AC224" i="1"/>
  <c r="AE224" i="1" s="1"/>
  <c r="AC231" i="1"/>
  <c r="AE231" i="1" s="1"/>
  <c r="AC234" i="1"/>
  <c r="AE234" i="1" s="1"/>
  <c r="AC242" i="1"/>
  <c r="AE242" i="1" s="1"/>
  <c r="AC228" i="1"/>
  <c r="AE228" i="1" s="1"/>
  <c r="AC232" i="1"/>
  <c r="AE232" i="1" s="1"/>
  <c r="AC236" i="1"/>
  <c r="AE236" i="1" s="1"/>
  <c r="AC240" i="1"/>
  <c r="AE240" i="1" s="1"/>
  <c r="AC244" i="1"/>
  <c r="AE244" i="1" s="1"/>
  <c r="AC248" i="1"/>
  <c r="AE248" i="1" s="1"/>
  <c r="AC252" i="1"/>
  <c r="AE252" i="1" s="1"/>
  <c r="AC256" i="1"/>
  <c r="AE256" i="1" s="1"/>
  <c r="AC260" i="1"/>
  <c r="AE260" i="1" s="1"/>
  <c r="AB264" i="1"/>
  <c r="AD264" i="1" s="1"/>
  <c r="AB268" i="1"/>
  <c r="AD268" i="1" s="1"/>
  <c r="AB272" i="1"/>
  <c r="AD272" i="1" s="1"/>
  <c r="AB276" i="1"/>
  <c r="AD276" i="1" s="1"/>
  <c r="AB280" i="1"/>
  <c r="AD280" i="1" s="1"/>
  <c r="AB311" i="1"/>
  <c r="AD311" i="1" s="1"/>
  <c r="AC312" i="1"/>
  <c r="AE312" i="1" s="1"/>
  <c r="AC313" i="1"/>
  <c r="AE313" i="1" s="1"/>
  <c r="AB319" i="1"/>
  <c r="AD319" i="1" s="1"/>
  <c r="AC320" i="1"/>
  <c r="AE320" i="1" s="1"/>
  <c r="AC321" i="1"/>
  <c r="AE321" i="1" s="1"/>
  <c r="AB327" i="1"/>
  <c r="AD327" i="1" s="1"/>
  <c r="AC328" i="1"/>
  <c r="AE328" i="1" s="1"/>
  <c r="AC329" i="1"/>
  <c r="AE329" i="1" s="1"/>
  <c r="AB335" i="1"/>
  <c r="AD335" i="1" s="1"/>
  <c r="AC336" i="1"/>
  <c r="AE336" i="1" s="1"/>
  <c r="AC337" i="1"/>
  <c r="AE337" i="1" s="1"/>
  <c r="AC343" i="1"/>
  <c r="AE343" i="1" s="1"/>
  <c r="AB344" i="1"/>
  <c r="AD344" i="1" s="1"/>
  <c r="AC345" i="1"/>
  <c r="AE345" i="1" s="1"/>
  <c r="AB373" i="1"/>
  <c r="AD373" i="1" s="1"/>
  <c r="AB387" i="1"/>
  <c r="AD387" i="1" s="1"/>
  <c r="AC415" i="1"/>
  <c r="AE415" i="1" s="1"/>
  <c r="AB222" i="1"/>
  <c r="AD222" i="1" s="1"/>
  <c r="AB224" i="1"/>
  <c r="AD224" i="1" s="1"/>
  <c r="AB230" i="1"/>
  <c r="AD230" i="1" s="1"/>
  <c r="AB250" i="1"/>
  <c r="AD250" i="1" s="1"/>
  <c r="AB262" i="1"/>
  <c r="AD262" i="1" s="1"/>
  <c r="AB270" i="1"/>
  <c r="AD270" i="1" s="1"/>
  <c r="AB277" i="1"/>
  <c r="AD277" i="1" s="1"/>
  <c r="AB283" i="1"/>
  <c r="AD283" i="1" s="1"/>
  <c r="AB287" i="1"/>
  <c r="AD287" i="1" s="1"/>
  <c r="AB295" i="1"/>
  <c r="AD295" i="1" s="1"/>
  <c r="AB303" i="1"/>
  <c r="AD303" i="1" s="1"/>
  <c r="AB315" i="1"/>
  <c r="AD315" i="1" s="1"/>
  <c r="AB323" i="1"/>
  <c r="AD323" i="1" s="1"/>
  <c r="AB326" i="1"/>
  <c r="AD326" i="1" s="1"/>
  <c r="AB346" i="1"/>
  <c r="AD346" i="1" s="1"/>
  <c r="AB410" i="1"/>
  <c r="AD410" i="1" s="1"/>
  <c r="AB423" i="1"/>
  <c r="AD423" i="1" s="1"/>
  <c r="AC519" i="1"/>
  <c r="AE519" i="1" s="1"/>
  <c r="AC517" i="1"/>
  <c r="AE517" i="1" s="1"/>
  <c r="AC515" i="1"/>
  <c r="AE515" i="1" s="1"/>
  <c r="AC513" i="1"/>
  <c r="AE513" i="1" s="1"/>
  <c r="AC511" i="1"/>
  <c r="AE511" i="1" s="1"/>
  <c r="AC509" i="1"/>
  <c r="AE509" i="1" s="1"/>
  <c r="AC507" i="1"/>
  <c r="AE507" i="1" s="1"/>
  <c r="AC505" i="1"/>
  <c r="AE505" i="1" s="1"/>
  <c r="AC503" i="1"/>
  <c r="AE503" i="1" s="1"/>
  <c r="AC466" i="1"/>
  <c r="AE466" i="1" s="1"/>
  <c r="AC465" i="1"/>
  <c r="AE465" i="1" s="1"/>
  <c r="AC462" i="1"/>
  <c r="AE462" i="1" s="1"/>
  <c r="AC461" i="1"/>
  <c r="AE461" i="1" s="1"/>
  <c r="AC458" i="1"/>
  <c r="AE458" i="1" s="1"/>
  <c r="AC457" i="1"/>
  <c r="AE457" i="1" s="1"/>
  <c r="AC454" i="1"/>
  <c r="AE454" i="1" s="1"/>
  <c r="AC453" i="1"/>
  <c r="AE453" i="1" s="1"/>
  <c r="AC450" i="1"/>
  <c r="AE450" i="1" s="1"/>
  <c r="AC449" i="1"/>
  <c r="AE449" i="1" s="1"/>
  <c r="AC446" i="1"/>
  <c r="AE446" i="1" s="1"/>
  <c r="AC445" i="1"/>
  <c r="AE445" i="1" s="1"/>
  <c r="AC442" i="1"/>
  <c r="AE442" i="1" s="1"/>
  <c r="AC441" i="1"/>
  <c r="AE441" i="1" s="1"/>
  <c r="AC438" i="1"/>
  <c r="AE438" i="1" s="1"/>
  <c r="AC501" i="1"/>
  <c r="AE501" i="1" s="1"/>
  <c r="AC499" i="1"/>
  <c r="AE499" i="1" s="1"/>
  <c r="AC497" i="1"/>
  <c r="AE497" i="1" s="1"/>
  <c r="AC495" i="1"/>
  <c r="AE495" i="1" s="1"/>
  <c r="AC493" i="1"/>
  <c r="AE493" i="1" s="1"/>
  <c r="AC491" i="1"/>
  <c r="AE491" i="1" s="1"/>
  <c r="AC489" i="1"/>
  <c r="AE489" i="1" s="1"/>
  <c r="AC487" i="1"/>
  <c r="AE487" i="1" s="1"/>
  <c r="AC485" i="1"/>
  <c r="AE485" i="1" s="1"/>
  <c r="AC483" i="1"/>
  <c r="AE483" i="1" s="1"/>
  <c r="AC481" i="1"/>
  <c r="AE481" i="1" s="1"/>
  <c r="AC479" i="1"/>
  <c r="AE479" i="1" s="1"/>
  <c r="AC477" i="1"/>
  <c r="AE477" i="1" s="1"/>
  <c r="AC475" i="1"/>
  <c r="AE475" i="1" s="1"/>
  <c r="AC473" i="1"/>
  <c r="AE473" i="1" s="1"/>
  <c r="AC471" i="1"/>
  <c r="AE471" i="1" s="1"/>
  <c r="AC469" i="1"/>
  <c r="AE469" i="1" s="1"/>
  <c r="AC467" i="1"/>
  <c r="AE467" i="1" s="1"/>
  <c r="AC463" i="1"/>
  <c r="AE463" i="1" s="1"/>
  <c r="AC459" i="1"/>
  <c r="AE459" i="1" s="1"/>
  <c r="AC455" i="1"/>
  <c r="AE455" i="1" s="1"/>
  <c r="AC451" i="1"/>
  <c r="AE451" i="1" s="1"/>
  <c r="AC447" i="1"/>
  <c r="AE447" i="1" s="1"/>
  <c r="AC443" i="1"/>
  <c r="AE443" i="1" s="1"/>
  <c r="AC439" i="1"/>
  <c r="AE439" i="1" s="1"/>
  <c r="AC436" i="1"/>
  <c r="AE436" i="1" s="1"/>
  <c r="AC434" i="1"/>
  <c r="AE434" i="1" s="1"/>
  <c r="AC432" i="1"/>
  <c r="AE432" i="1" s="1"/>
  <c r="AC430" i="1"/>
  <c r="AE430" i="1" s="1"/>
  <c r="AC428" i="1"/>
  <c r="AE428" i="1" s="1"/>
  <c r="AC426" i="1"/>
  <c r="AE426" i="1" s="1"/>
  <c r="AC424" i="1"/>
  <c r="AE424" i="1" s="1"/>
  <c r="AC422" i="1"/>
  <c r="AE422" i="1" s="1"/>
  <c r="AC420" i="1"/>
  <c r="AE420" i="1" s="1"/>
  <c r="AC417" i="1"/>
  <c r="AE417" i="1" s="1"/>
  <c r="AC416" i="1"/>
  <c r="AE416" i="1" s="1"/>
  <c r="AC413" i="1"/>
  <c r="AE413" i="1" s="1"/>
  <c r="AC412" i="1"/>
  <c r="AE412" i="1" s="1"/>
  <c r="AC409" i="1"/>
  <c r="AE409" i="1" s="1"/>
  <c r="AC408" i="1"/>
  <c r="AE408" i="1" s="1"/>
  <c r="AC405" i="1"/>
  <c r="AE405" i="1" s="1"/>
  <c r="AC404" i="1"/>
  <c r="AE404" i="1" s="1"/>
  <c r="AC401" i="1"/>
  <c r="AE401" i="1" s="1"/>
  <c r="AC400" i="1"/>
  <c r="AE400" i="1" s="1"/>
  <c r="AC397" i="1"/>
  <c r="AE397" i="1" s="1"/>
  <c r="AC396" i="1"/>
  <c r="AE396" i="1" s="1"/>
  <c r="AC393" i="1"/>
  <c r="AE393" i="1" s="1"/>
  <c r="AC392" i="1"/>
  <c r="AE392" i="1" s="1"/>
  <c r="AC389" i="1"/>
  <c r="AE389" i="1" s="1"/>
  <c r="AC388" i="1"/>
  <c r="AE388" i="1" s="1"/>
  <c r="AC385" i="1"/>
  <c r="AE385" i="1" s="1"/>
  <c r="AC384" i="1"/>
  <c r="AE384" i="1" s="1"/>
  <c r="AC381" i="1"/>
  <c r="AE381" i="1" s="1"/>
  <c r="AC380" i="1"/>
  <c r="AE380" i="1" s="1"/>
  <c r="AC377" i="1"/>
  <c r="AE377" i="1" s="1"/>
  <c r="AC375" i="1"/>
  <c r="AE375" i="1" s="1"/>
  <c r="AC373" i="1"/>
  <c r="AE373" i="1" s="1"/>
  <c r="AC418" i="1"/>
  <c r="AE418" i="1" s="1"/>
  <c r="AC414" i="1"/>
  <c r="AE414" i="1" s="1"/>
  <c r="AC410" i="1"/>
  <c r="AE410" i="1" s="1"/>
  <c r="AC406" i="1"/>
  <c r="AE406" i="1" s="1"/>
  <c r="AC402" i="1"/>
  <c r="AE402" i="1" s="1"/>
  <c r="AC398" i="1"/>
  <c r="AE398" i="1" s="1"/>
  <c r="AC394" i="1"/>
  <c r="AE394" i="1" s="1"/>
  <c r="AC390" i="1"/>
  <c r="AE390" i="1" s="1"/>
  <c r="AC386" i="1"/>
  <c r="AE386" i="1" s="1"/>
  <c r="AC382" i="1"/>
  <c r="AE382" i="1" s="1"/>
  <c r="AC376" i="1"/>
  <c r="AE376" i="1" s="1"/>
  <c r="AC372" i="1"/>
  <c r="AE372" i="1" s="1"/>
  <c r="AC371" i="1"/>
  <c r="AE371" i="1" s="1"/>
  <c r="AC370" i="1"/>
  <c r="AE370" i="1" s="1"/>
  <c r="AC369" i="1"/>
  <c r="AE369" i="1" s="1"/>
  <c r="AC368" i="1"/>
  <c r="AE368" i="1" s="1"/>
  <c r="AC367" i="1"/>
  <c r="AE367" i="1" s="1"/>
  <c r="AC366" i="1"/>
  <c r="AE366" i="1" s="1"/>
  <c r="AC365" i="1"/>
  <c r="AE365" i="1" s="1"/>
  <c r="AC364" i="1"/>
  <c r="AE364" i="1" s="1"/>
  <c r="AC363" i="1"/>
  <c r="AE363" i="1" s="1"/>
  <c r="AC362" i="1"/>
  <c r="AE362" i="1" s="1"/>
  <c r="AC361" i="1"/>
  <c r="AE361" i="1" s="1"/>
  <c r="AC360" i="1"/>
  <c r="AE360" i="1" s="1"/>
  <c r="AC359" i="1"/>
  <c r="AE359" i="1" s="1"/>
  <c r="AC358" i="1"/>
  <c r="AE358" i="1" s="1"/>
  <c r="AC357" i="1"/>
  <c r="AE357" i="1" s="1"/>
  <c r="AC356" i="1"/>
  <c r="AE356" i="1" s="1"/>
  <c r="AC355" i="1"/>
  <c r="AE355" i="1" s="1"/>
  <c r="AC354" i="1"/>
  <c r="AE354" i="1" s="1"/>
  <c r="AC353" i="1"/>
  <c r="AE353" i="1" s="1"/>
  <c r="AC352" i="1"/>
  <c r="AE352" i="1" s="1"/>
  <c r="AC351" i="1"/>
  <c r="AE351" i="1" s="1"/>
  <c r="AC350" i="1"/>
  <c r="AE350" i="1" s="1"/>
  <c r="AC349" i="1"/>
  <c r="AE349" i="1" s="1"/>
  <c r="AC348" i="1"/>
  <c r="AE348" i="1" s="1"/>
  <c r="AC346" i="1"/>
  <c r="AE346" i="1" s="1"/>
  <c r="AC342" i="1"/>
  <c r="AE342" i="1" s="1"/>
  <c r="AC338" i="1"/>
  <c r="AE338" i="1" s="1"/>
  <c r="AC334" i="1"/>
  <c r="AE334" i="1" s="1"/>
  <c r="AC330" i="1"/>
  <c r="AE330" i="1" s="1"/>
  <c r="AC326" i="1"/>
  <c r="AE326" i="1" s="1"/>
  <c r="AC322" i="1"/>
  <c r="AE322" i="1" s="1"/>
  <c r="AC318" i="1"/>
  <c r="AE318" i="1" s="1"/>
  <c r="AC314" i="1"/>
  <c r="AE314" i="1" s="1"/>
  <c r="AC310" i="1"/>
  <c r="AE310" i="1" s="1"/>
  <c r="AC307" i="1"/>
  <c r="AE307" i="1" s="1"/>
  <c r="AC305" i="1"/>
  <c r="AE305" i="1" s="1"/>
  <c r="AC303" i="1"/>
  <c r="AE303" i="1" s="1"/>
  <c r="AC301" i="1"/>
  <c r="AE301" i="1" s="1"/>
  <c r="AC299" i="1"/>
  <c r="AE299" i="1" s="1"/>
  <c r="AC297" i="1"/>
  <c r="AE297" i="1" s="1"/>
  <c r="AC295" i="1"/>
  <c r="AE295" i="1" s="1"/>
  <c r="AC293" i="1"/>
  <c r="AE293" i="1" s="1"/>
  <c r="AC291" i="1"/>
  <c r="AE291" i="1" s="1"/>
  <c r="AC289" i="1"/>
  <c r="AE289" i="1" s="1"/>
  <c r="AC287" i="1"/>
  <c r="AE287" i="1" s="1"/>
  <c r="AC285" i="1"/>
  <c r="AE285" i="1" s="1"/>
  <c r="AC283" i="1"/>
  <c r="AE283" i="1" s="1"/>
  <c r="AC281" i="1"/>
  <c r="AE281" i="1" s="1"/>
  <c r="AB226" i="1"/>
  <c r="AD226" i="1" s="1"/>
  <c r="AC227" i="1"/>
  <c r="AE227" i="1" s="1"/>
  <c r="AB229" i="1"/>
  <c r="AD229" i="1" s="1"/>
  <c r="AB231" i="1"/>
  <c r="AD231" i="1" s="1"/>
  <c r="AB233" i="1"/>
  <c r="AD233" i="1" s="1"/>
  <c r="AB235" i="1"/>
  <c r="AD235" i="1" s="1"/>
  <c r="AB237" i="1"/>
  <c r="AD237" i="1" s="1"/>
  <c r="AB239" i="1"/>
  <c r="AD239" i="1" s="1"/>
  <c r="AB241" i="1"/>
  <c r="AD241" i="1" s="1"/>
  <c r="AB243" i="1"/>
  <c r="AD243" i="1" s="1"/>
  <c r="AB245" i="1"/>
  <c r="AD245" i="1" s="1"/>
  <c r="AB247" i="1"/>
  <c r="AD247" i="1" s="1"/>
  <c r="AB249" i="1"/>
  <c r="AD249" i="1" s="1"/>
  <c r="AB251" i="1"/>
  <c r="AD251" i="1" s="1"/>
  <c r="AB253" i="1"/>
  <c r="AD253" i="1" s="1"/>
  <c r="AB255" i="1"/>
  <c r="AD255" i="1" s="1"/>
  <c r="AB257" i="1"/>
  <c r="AD257" i="1" s="1"/>
  <c r="AB259" i="1"/>
  <c r="AD259" i="1" s="1"/>
  <c r="AB261" i="1"/>
  <c r="AD261" i="1" s="1"/>
  <c r="AC263" i="1"/>
  <c r="AE263" i="1" s="1"/>
  <c r="AC267" i="1"/>
  <c r="AE267" i="1" s="1"/>
  <c r="AC271" i="1"/>
  <c r="AE271" i="1" s="1"/>
  <c r="AC275" i="1"/>
  <c r="AE275" i="1" s="1"/>
  <c r="AC279" i="1"/>
  <c r="AE279" i="1" s="1"/>
  <c r="AB282" i="1"/>
  <c r="AD282" i="1" s="1"/>
  <c r="AB284" i="1"/>
  <c r="AD284" i="1" s="1"/>
  <c r="AB286" i="1"/>
  <c r="AD286" i="1" s="1"/>
  <c r="AB288" i="1"/>
  <c r="AD288" i="1" s="1"/>
  <c r="AB290" i="1"/>
  <c r="AD290" i="1" s="1"/>
  <c r="AB292" i="1"/>
  <c r="AD292" i="1" s="1"/>
  <c r="AB294" i="1"/>
  <c r="AD294" i="1" s="1"/>
  <c r="AB296" i="1"/>
  <c r="AD296" i="1" s="1"/>
  <c r="AB298" i="1"/>
  <c r="AD298" i="1" s="1"/>
  <c r="AB300" i="1"/>
  <c r="AD300" i="1" s="1"/>
  <c r="AB302" i="1"/>
  <c r="AD302" i="1" s="1"/>
  <c r="AB304" i="1"/>
  <c r="AD304" i="1" s="1"/>
  <c r="AB306" i="1"/>
  <c r="AD306" i="1" s="1"/>
  <c r="AB308" i="1"/>
  <c r="AD308" i="1" s="1"/>
  <c r="AC315" i="1"/>
  <c r="AE315" i="1" s="1"/>
  <c r="AB316" i="1"/>
  <c r="AD316" i="1" s="1"/>
  <c r="AC323" i="1"/>
  <c r="AE323" i="1" s="1"/>
  <c r="AB324" i="1"/>
  <c r="AD324" i="1" s="1"/>
  <c r="AC331" i="1"/>
  <c r="AE331" i="1" s="1"/>
  <c r="AB332" i="1"/>
  <c r="AD332" i="1" s="1"/>
  <c r="AC339" i="1"/>
  <c r="AE339" i="1" s="1"/>
  <c r="AB340" i="1"/>
  <c r="AD340" i="1" s="1"/>
  <c r="AC341" i="1"/>
  <c r="AE341" i="1" s="1"/>
  <c r="AC344" i="1"/>
  <c r="AE344" i="1" s="1"/>
  <c r="AB377" i="1"/>
  <c r="AD377" i="1" s="1"/>
  <c r="AC399" i="1"/>
  <c r="AE399" i="1" s="1"/>
  <c r="AB428" i="1"/>
  <c r="AD428" i="1" s="1"/>
  <c r="AB459" i="1"/>
  <c r="AD459" i="1" s="1"/>
  <c r="AB461" i="1"/>
  <c r="AD461" i="1" s="1"/>
  <c r="AB339" i="1"/>
  <c r="AD339" i="1" s="1"/>
  <c r="AB343" i="1"/>
  <c r="AD343" i="1" s="1"/>
  <c r="AB347" i="1"/>
  <c r="AD347" i="1" s="1"/>
  <c r="AB348" i="1"/>
  <c r="AD348" i="1" s="1"/>
  <c r="AB349" i="1"/>
  <c r="AD349" i="1" s="1"/>
  <c r="AB350" i="1"/>
  <c r="AD350" i="1" s="1"/>
  <c r="AB351" i="1"/>
  <c r="AD351" i="1" s="1"/>
  <c r="AB352" i="1"/>
  <c r="AD352" i="1" s="1"/>
  <c r="AB353" i="1"/>
  <c r="AD353" i="1" s="1"/>
  <c r="AB354" i="1"/>
  <c r="AD354" i="1" s="1"/>
  <c r="AB355" i="1"/>
  <c r="AD355" i="1" s="1"/>
  <c r="AB356" i="1"/>
  <c r="AD356" i="1" s="1"/>
  <c r="AB357" i="1"/>
  <c r="AD357" i="1" s="1"/>
  <c r="AB358" i="1"/>
  <c r="AD358" i="1" s="1"/>
  <c r="AB359" i="1"/>
  <c r="AD359" i="1" s="1"/>
  <c r="AB360" i="1"/>
  <c r="AD360" i="1" s="1"/>
  <c r="AB361" i="1"/>
  <c r="AD361" i="1" s="1"/>
  <c r="AB362" i="1"/>
  <c r="AD362" i="1" s="1"/>
  <c r="AB363" i="1"/>
  <c r="AD363" i="1" s="1"/>
  <c r="AB364" i="1"/>
  <c r="AD364" i="1" s="1"/>
  <c r="AB365" i="1"/>
  <c r="AD365" i="1" s="1"/>
  <c r="AB366" i="1"/>
  <c r="AD366" i="1" s="1"/>
  <c r="AB367" i="1"/>
  <c r="AD367" i="1" s="1"/>
  <c r="AB368" i="1"/>
  <c r="AD368" i="1" s="1"/>
  <c r="AB369" i="1"/>
  <c r="AD369" i="1" s="1"/>
  <c r="AB370" i="1"/>
  <c r="AD370" i="1" s="1"/>
  <c r="AB371" i="1"/>
  <c r="AD371" i="1" s="1"/>
  <c r="AB372" i="1"/>
  <c r="AD372" i="1" s="1"/>
  <c r="AB376" i="1"/>
  <c r="AD376" i="1" s="1"/>
  <c r="AC379" i="1"/>
  <c r="AE379" i="1" s="1"/>
  <c r="AB383" i="1"/>
  <c r="AD383" i="1" s="1"/>
  <c r="AC395" i="1"/>
  <c r="AE395" i="1" s="1"/>
  <c r="AB399" i="1"/>
  <c r="AD399" i="1" s="1"/>
  <c r="AC411" i="1"/>
  <c r="AE411" i="1" s="1"/>
  <c r="AB415" i="1"/>
  <c r="AD415" i="1" s="1"/>
  <c r="AB427" i="1"/>
  <c r="AD427" i="1" s="1"/>
  <c r="AB445" i="1"/>
  <c r="AD445" i="1" s="1"/>
  <c r="AB452" i="1"/>
  <c r="AD452" i="1" s="1"/>
  <c r="AB375" i="1"/>
  <c r="AD375" i="1" s="1"/>
  <c r="AB379" i="1"/>
  <c r="AD379" i="1" s="1"/>
  <c r="AC391" i="1"/>
  <c r="AE391" i="1" s="1"/>
  <c r="AB395" i="1"/>
  <c r="AD395" i="1" s="1"/>
  <c r="AC407" i="1"/>
  <c r="AE407" i="1" s="1"/>
  <c r="AB411" i="1"/>
  <c r="AD411" i="1" s="1"/>
  <c r="AB431" i="1"/>
  <c r="AD431" i="1" s="1"/>
  <c r="AC464" i="1"/>
  <c r="AE464" i="1" s="1"/>
  <c r="AB309" i="1"/>
  <c r="AD309" i="1" s="1"/>
  <c r="AB313" i="1"/>
  <c r="AD313" i="1" s="1"/>
  <c r="AB317" i="1"/>
  <c r="AD317" i="1" s="1"/>
  <c r="AB321" i="1"/>
  <c r="AD321" i="1" s="1"/>
  <c r="AB325" i="1"/>
  <c r="AD325" i="1" s="1"/>
  <c r="AB329" i="1"/>
  <c r="AD329" i="1" s="1"/>
  <c r="AB333" i="1"/>
  <c r="AD333" i="1" s="1"/>
  <c r="AB337" i="1"/>
  <c r="AD337" i="1" s="1"/>
  <c r="AB341" i="1"/>
  <c r="AD341" i="1" s="1"/>
  <c r="AB345" i="1"/>
  <c r="AD345" i="1" s="1"/>
  <c r="AB374" i="1"/>
  <c r="AD374" i="1" s="1"/>
  <c r="AB378" i="1"/>
  <c r="AD378" i="1" s="1"/>
  <c r="AC387" i="1"/>
  <c r="AE387" i="1" s="1"/>
  <c r="AB391" i="1"/>
  <c r="AD391" i="1" s="1"/>
  <c r="AC403" i="1"/>
  <c r="AE403" i="1" s="1"/>
  <c r="AB407" i="1"/>
  <c r="AD407" i="1" s="1"/>
  <c r="AC419" i="1"/>
  <c r="AE419" i="1" s="1"/>
  <c r="AC421" i="1"/>
  <c r="AE421" i="1" s="1"/>
  <c r="AB435" i="1"/>
  <c r="AD435" i="1" s="1"/>
  <c r="AC448" i="1"/>
  <c r="AE448" i="1" s="1"/>
  <c r="AC506" i="1"/>
  <c r="AE506" i="1" s="1"/>
  <c r="AB421" i="1"/>
  <c r="AD421" i="1" s="1"/>
  <c r="AC425" i="1"/>
  <c r="AE425" i="1" s="1"/>
  <c r="AC429" i="1"/>
  <c r="AE429" i="1" s="1"/>
  <c r="AC433" i="1"/>
  <c r="AE433" i="1" s="1"/>
  <c r="AC437" i="1"/>
  <c r="AE437" i="1" s="1"/>
  <c r="AB441" i="1"/>
  <c r="AD441" i="1" s="1"/>
  <c r="AC444" i="1"/>
  <c r="AE444" i="1" s="1"/>
  <c r="AB448" i="1"/>
  <c r="AD448" i="1" s="1"/>
  <c r="AB457" i="1"/>
  <c r="AD457" i="1" s="1"/>
  <c r="AC460" i="1"/>
  <c r="AE460" i="1" s="1"/>
  <c r="AB464" i="1"/>
  <c r="AD464" i="1" s="1"/>
  <c r="AC510" i="1"/>
  <c r="AE510" i="1" s="1"/>
  <c r="AB381" i="1"/>
  <c r="AD381" i="1" s="1"/>
  <c r="AB385" i="1"/>
  <c r="AD385" i="1" s="1"/>
  <c r="AB389" i="1"/>
  <c r="AD389" i="1" s="1"/>
  <c r="AB393" i="1"/>
  <c r="AD393" i="1" s="1"/>
  <c r="AB397" i="1"/>
  <c r="AD397" i="1" s="1"/>
  <c r="AB401" i="1"/>
  <c r="AD401" i="1" s="1"/>
  <c r="AB405" i="1"/>
  <c r="AD405" i="1" s="1"/>
  <c r="AB409" i="1"/>
  <c r="AD409" i="1" s="1"/>
  <c r="AB413" i="1"/>
  <c r="AD413" i="1" s="1"/>
  <c r="AB417" i="1"/>
  <c r="AD417" i="1" s="1"/>
  <c r="AB425" i="1"/>
  <c r="AD425" i="1" s="1"/>
  <c r="AB429" i="1"/>
  <c r="AD429" i="1" s="1"/>
  <c r="AB433" i="1"/>
  <c r="AD433" i="1" s="1"/>
  <c r="AB437" i="1"/>
  <c r="AD437" i="1" s="1"/>
  <c r="AC440" i="1"/>
  <c r="AE440" i="1" s="1"/>
  <c r="AB444" i="1"/>
  <c r="AD444" i="1" s="1"/>
  <c r="AB453" i="1"/>
  <c r="AD453" i="1" s="1"/>
  <c r="AC456" i="1"/>
  <c r="AE456" i="1" s="1"/>
  <c r="AB460" i="1"/>
  <c r="AD460" i="1" s="1"/>
  <c r="AC514" i="1"/>
  <c r="AE514" i="1" s="1"/>
  <c r="AC423" i="1"/>
  <c r="AE423" i="1" s="1"/>
  <c r="AC427" i="1"/>
  <c r="AE427" i="1" s="1"/>
  <c r="AC431" i="1"/>
  <c r="AE431" i="1" s="1"/>
  <c r="AC435" i="1"/>
  <c r="AE435" i="1" s="1"/>
  <c r="AB440" i="1"/>
  <c r="AD440" i="1" s="1"/>
  <c r="AB449" i="1"/>
  <c r="AD449" i="1" s="1"/>
  <c r="AC452" i="1"/>
  <c r="AE452" i="1" s="1"/>
  <c r="AB456" i="1"/>
  <c r="AD456" i="1" s="1"/>
  <c r="AB465" i="1"/>
  <c r="AD465" i="1" s="1"/>
  <c r="AC518" i="1"/>
  <c r="AE518" i="1" s="1"/>
  <c r="AB506" i="1"/>
  <c r="AD506" i="1" s="1"/>
  <c r="AB510" i="1"/>
  <c r="AD510" i="1" s="1"/>
  <c r="AB514" i="1"/>
  <c r="AD514" i="1" s="1"/>
  <c r="AB518" i="1"/>
  <c r="AD518" i="1" s="1"/>
  <c r="AC521" i="1"/>
  <c r="AE521" i="1" s="1"/>
  <c r="AB438" i="1"/>
  <c r="AD438" i="1" s="1"/>
  <c r="AB442" i="1"/>
  <c r="AD442" i="1" s="1"/>
  <c r="AB446" i="1"/>
  <c r="AD446" i="1" s="1"/>
  <c r="AB450" i="1"/>
  <c r="AD450" i="1" s="1"/>
  <c r="AB454" i="1"/>
  <c r="AD454" i="1" s="1"/>
  <c r="AB458" i="1"/>
  <c r="AD458" i="1" s="1"/>
  <c r="AB462" i="1"/>
  <c r="AD462" i="1" s="1"/>
  <c r="AB466" i="1"/>
  <c r="AD466" i="1" s="1"/>
  <c r="AC504" i="1"/>
  <c r="AE504" i="1" s="1"/>
  <c r="AC508" i="1"/>
  <c r="AE508" i="1" s="1"/>
  <c r="AC512" i="1"/>
  <c r="AE512" i="1" s="1"/>
  <c r="AC516" i="1"/>
  <c r="AE516" i="1" s="1"/>
  <c r="AC520" i="1"/>
  <c r="AE520" i="1" s="1"/>
  <c r="AC468" i="1"/>
  <c r="AE468" i="1" s="1"/>
  <c r="AC470" i="1"/>
  <c r="AE470" i="1" s="1"/>
  <c r="AC472" i="1"/>
  <c r="AE472" i="1" s="1"/>
  <c r="AC474" i="1"/>
  <c r="AE474" i="1" s="1"/>
  <c r="AC476" i="1"/>
  <c r="AE476" i="1" s="1"/>
  <c r="AC478" i="1"/>
  <c r="AE478" i="1" s="1"/>
  <c r="AC480" i="1"/>
  <c r="AE480" i="1" s="1"/>
  <c r="AC482" i="1"/>
  <c r="AE482" i="1" s="1"/>
  <c r="AC484" i="1"/>
  <c r="AE484" i="1" s="1"/>
  <c r="AC486" i="1"/>
  <c r="AE486" i="1" s="1"/>
  <c r="AC488" i="1"/>
  <c r="AE488" i="1" s="1"/>
  <c r="AC490" i="1"/>
  <c r="AE490" i="1" s="1"/>
  <c r="AC492" i="1"/>
  <c r="AE492" i="1" s="1"/>
  <c r="AC494" i="1"/>
  <c r="AE494" i="1" s="1"/>
  <c r="AC496" i="1"/>
  <c r="AE496" i="1" s="1"/>
  <c r="AC498" i="1"/>
  <c r="AE498" i="1" s="1"/>
  <c r="AC500" i="1"/>
  <c r="AE500" i="1" s="1"/>
  <c r="AC502" i="1"/>
  <c r="AE502" i="1" s="1"/>
  <c r="AB504" i="1"/>
  <c r="AD504" i="1" s="1"/>
  <c r="AB508" i="1"/>
  <c r="AD508" i="1" s="1"/>
  <c r="AB512" i="1"/>
  <c r="AD512" i="1" s="1"/>
  <c r="AB516" i="1"/>
  <c r="AD516" i="1" s="1"/>
  <c r="AB520" i="1"/>
  <c r="AD520" i="1" s="1"/>
</calcChain>
</file>

<file path=xl/sharedStrings.xml><?xml version="1.0" encoding="utf-8"?>
<sst xmlns="http://schemas.openxmlformats.org/spreadsheetml/2006/main" count="64" uniqueCount="48">
  <si>
    <t>Дата</t>
  </si>
  <si>
    <t>Количество_сессий</t>
  </si>
  <si>
    <t>Доля_сесий_дольше_5_минут</t>
  </si>
  <si>
    <t>Количество пользователей</t>
  </si>
  <si>
    <t>Средняя продолжительность сессии</t>
  </si>
  <si>
    <t>Выгрузка из таблицы game_sessions (Metabase).</t>
  </si>
  <si>
    <t>С января 2023 года рост количества игровых сессий  и снижение долей игровых сессий дольше 5 минут.</t>
  </si>
  <si>
    <t>revenue</t>
  </si>
  <si>
    <t>Ammo</t>
  </si>
  <si>
    <t>Currency</t>
  </si>
  <si>
    <t>Materials</t>
  </si>
  <si>
    <t>Transport</t>
  </si>
  <si>
    <t>Weapon</t>
  </si>
  <si>
    <t>В марте 2023 года оплаты по типу Currency составили 106440 рублей.</t>
  </si>
  <si>
    <t>avg_cnt_buy</t>
  </si>
  <si>
    <t>В марте 2023 года выручка с приобретаемых кристаллов составила 37840 рублей.</t>
  </si>
  <si>
    <t>cnt_users</t>
  </si>
  <si>
    <t>В марте 2023 количество лояльных пользователей по критерию приглашения достигло 532.</t>
  </si>
  <si>
    <t>В марте 2023 количество лояльных пользователей по критерию оплаты минимум 1000 рублей достигло 230.</t>
  </si>
  <si>
    <t xml:space="preserve">В марте 2023 года количество лояльных пользователей по критерию приглашения и оплаты минимум </t>
  </si>
  <si>
    <t>1000 рублей достигло 76.</t>
  </si>
  <si>
    <t xml:space="preserve">В марте 2023 года количество лояльных пользователей по критерию приглашения или оплаты минимум </t>
  </si>
  <si>
    <t>1000 рублей достигло 686.</t>
  </si>
  <si>
    <t xml:space="preserve">С января 2023 года наблюдается рост пользовательской базы. </t>
  </si>
  <si>
    <t>В марте 2023 года резкий скачок средней продолжительности одной игровой сессии до 5 часов.</t>
  </si>
  <si>
    <t>Date</t>
  </si>
  <si>
    <t>DAU</t>
  </si>
  <si>
    <t>WAU</t>
  </si>
  <si>
    <t>MAU</t>
  </si>
  <si>
    <t>month_number</t>
  </si>
  <si>
    <t>week_number</t>
  </si>
  <si>
    <t>day_sessions</t>
  </si>
  <si>
    <t>cnt_user</t>
  </si>
  <si>
    <t>week_sessions</t>
  </si>
  <si>
    <t>week</t>
  </si>
  <si>
    <t>month</t>
  </si>
  <si>
    <t>month_sessions</t>
  </si>
  <si>
    <t>Sticky Factor(week)</t>
  </si>
  <si>
    <t>Sticky Factor(month)</t>
  </si>
  <si>
    <t>В марте 2023 года метрика MAU - 1544 уникальных пользователя.</t>
  </si>
  <si>
    <t>Агрегированные данные из таблицы users (Metabase).</t>
  </si>
  <si>
    <t>Агрегированные данные из таблицы game_sessions (Metabase).</t>
  </si>
  <si>
    <t>Агрегированные данные из объединённых таблиц monetary, item_list, log_prices (Metabase).</t>
  </si>
  <si>
    <t>Агрегированные данные из объединённых таблиц referral, game_sessions (Metabase).</t>
  </si>
  <si>
    <t>Агрегированные данные из объединённых таблиц  monetary, log_prices, game_sessions (Metabase).</t>
  </si>
  <si>
    <t>Агрегированные данные из объединённых таблиц  referral, monetary, log_prices, game_sessions (Metabase).</t>
  </si>
  <si>
    <t>SF недельный составляет 30% на протяжении всего периода с просадкой до 15% в декабре-январе.</t>
  </si>
  <si>
    <t>SF месячный составляет 15% на протяжении всего периода с просадкой до 5% в декабре-январе.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</si>
</sst>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/yyyy"/>
    <numFmt numFmtId="166" formatCode="dd/mm/yy;@"/>
  </numFmts>
  <fonts count="5" x14ac:knownFonts="1">
    <font>
      <sz val="11"/>
      <color indexed="8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7" xfId="0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8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4" xfId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6" xfId="1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r>
              <a:rPr lang="ru-RU" sz="1400" b="1" dirty="0">
                <a:solidFill>
                  <a:schemeClr val="tx1"/>
                </a:solidFill>
                <a:latin typeface="+mn-lt"/>
                <a:cs typeface="Arial" panose="020B0604020202020204" pitchFamily="34" charset="0"/>
              </a:rPr>
              <a:t>Динамика игровых сессий и сессий дольше </a:t>
            </a:r>
            <a:r>
              <a:rPr lang="ru-RU" sz="1400" b="1" i="0" u="none" strike="noStrike" kern="1200" spc="0" baseline="0" dirty="0">
                <a:solidFill>
                  <a:schemeClr val="tx1"/>
                </a:solidFill>
                <a:latin typeface="+mn-lt"/>
                <a:cs typeface="Arial" panose="020B0604020202020204" pitchFamily="34" charset="0"/>
              </a:rPr>
              <a:t>пяти минут</a:t>
            </a:r>
            <a:r>
              <a:rPr lang="en-US" sz="1400" b="1" i="0" u="none" strike="noStrike" kern="1200" spc="0" baseline="0" dirty="0">
                <a:solidFill>
                  <a:schemeClr val="tx1"/>
                </a:solidFill>
                <a:latin typeface="+mn-lt"/>
                <a:cs typeface="Arial" panose="020B0604020202020204" pitchFamily="34" charset="0"/>
              </a:rPr>
              <a:t> </a:t>
            </a:r>
            <a:r>
              <a:rPr lang="ru-RU" sz="1400" b="1" i="0" u="none" strike="noStrike" kern="1200" spc="0" baseline="0" dirty="0">
                <a:solidFill>
                  <a:schemeClr val="tx1"/>
                </a:solidFill>
                <a:latin typeface="+mn-lt"/>
                <a:cs typeface="Arial" panose="020B0604020202020204" pitchFamily="34" charset="0"/>
              </a:rPr>
              <a:t>по месяцам </a:t>
            </a:r>
            <a:r>
              <a:rPr lang="ru-RU" sz="1400" b="1" dirty="0">
                <a:solidFill>
                  <a:schemeClr val="tx1"/>
                </a:solidFill>
                <a:latin typeface="+mn-lt"/>
                <a:cs typeface="Arial" panose="020B0604020202020204" pitchFamily="34" charset="0"/>
              </a:rPr>
              <a:t> </a:t>
            </a:r>
          </a:p>
        </c:rich>
      </c:tx>
      <c:layout>
        <c:manualLayout>
          <c:xMode val="edge"/>
          <c:yMode val="edge"/>
          <c:x val="7.6545015206432532E-2"/>
          <c:y val="2.846280098892651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267480453832161"/>
          <c:y val="0.10800663075010358"/>
          <c:w val="0.66848838339651973"/>
          <c:h val="0.64013330075983943"/>
        </c:manualLayout>
      </c:layout>
      <c:lineChart>
        <c:grouping val="standard"/>
        <c:varyColors val="0"/>
        <c:ser>
          <c:idx val="0"/>
          <c:order val="0"/>
          <c:tx>
            <c:strRef>
              <c:f>'Результат запроса'!$N$25</c:f>
              <c:strCache>
                <c:ptCount val="1"/>
                <c:pt idx="0">
                  <c:v>Количество_сессий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3.1454783748361859E-2"/>
                  <c:y val="-4.77326968973747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12-43F5-A622-DD59B21B30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запроса'!$M$26:$M$35</c:f>
              <c:numCache>
                <c:formatCode>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запроса'!$N$26:$N$35</c:f>
              <c:numCache>
                <c:formatCode>General</c:formatCode>
                <c:ptCount val="10"/>
                <c:pt idx="0">
                  <c:v>1203</c:v>
                </c:pt>
                <c:pt idx="1">
                  <c:v>2209</c:v>
                </c:pt>
                <c:pt idx="2">
                  <c:v>2233</c:v>
                </c:pt>
                <c:pt idx="3">
                  <c:v>2332</c:v>
                </c:pt>
                <c:pt idx="4">
                  <c:v>1688</c:v>
                </c:pt>
                <c:pt idx="5">
                  <c:v>935</c:v>
                </c:pt>
                <c:pt idx="6">
                  <c:v>2426</c:v>
                </c:pt>
                <c:pt idx="7">
                  <c:v>3383</c:v>
                </c:pt>
                <c:pt idx="8">
                  <c:v>5779</c:v>
                </c:pt>
                <c:pt idx="9">
                  <c:v>4973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1F-4126-BA5B-628AB3A60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024880"/>
        <c:axId val="1479001840"/>
      </c:lineChart>
      <c:lineChart>
        <c:grouping val="standard"/>
        <c:varyColors val="0"/>
        <c:ser>
          <c:idx val="1"/>
          <c:order val="1"/>
          <c:tx>
            <c:strRef>
              <c:f>'Результат запроса'!$O$25</c:f>
              <c:strCache>
                <c:ptCount val="1"/>
                <c:pt idx="0">
                  <c:v>Доля_сесий_дольше_5_минут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запроса'!$M$26:$M$35</c:f>
              <c:numCache>
                <c:formatCode>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запроса'!$O$26:$O$35</c:f>
              <c:numCache>
                <c:formatCode>0.00</c:formatCode>
                <c:ptCount val="10"/>
                <c:pt idx="0">
                  <c:v>0.76392352452202827</c:v>
                </c:pt>
                <c:pt idx="1">
                  <c:v>0.77274784970574917</c:v>
                </c:pt>
                <c:pt idx="2">
                  <c:v>0.76802507836990597</c:v>
                </c:pt>
                <c:pt idx="3">
                  <c:v>0.77572898799313894</c:v>
                </c:pt>
                <c:pt idx="4">
                  <c:v>0.74229857819905209</c:v>
                </c:pt>
                <c:pt idx="5">
                  <c:v>0.65454545454545454</c:v>
                </c:pt>
                <c:pt idx="6">
                  <c:v>0.73165704863973624</c:v>
                </c:pt>
                <c:pt idx="7">
                  <c:v>0.71800177357375106</c:v>
                </c:pt>
                <c:pt idx="8">
                  <c:v>0.67399204014535385</c:v>
                </c:pt>
                <c:pt idx="9">
                  <c:v>0.65212145586165293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1F-4126-BA5B-628AB3A60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8992720"/>
        <c:axId val="1478991280"/>
      </c:lineChart>
      <c:dateAx>
        <c:axId val="1479024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ru-RU" sz="1100">
                    <a:latin typeface="+mn-lt"/>
                    <a:cs typeface="Arial" panose="020B0604020202020204" pitchFamily="34" charset="0"/>
                  </a:rPr>
                  <a:t>Дата</a:t>
                </a:r>
              </a:p>
            </c:rich>
          </c:tx>
          <c:layout>
            <c:manualLayout>
              <c:xMode val="edge"/>
              <c:yMode val="edge"/>
              <c:x val="0.47906178394367371"/>
              <c:y val="0.920628354291534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9001840"/>
        <c:crosses val="autoZero"/>
        <c:auto val="1"/>
        <c:lblOffset val="100"/>
        <c:baseTimeUnit val="months"/>
      </c:dateAx>
      <c:valAx>
        <c:axId val="147900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  <a:latin typeface="+mn-lt"/>
                    <a:cs typeface="Arial" panose="020B0604020202020204" pitchFamily="34" charset="0"/>
                  </a:rPr>
                  <a:t>Количество</a:t>
                </a:r>
                <a:r>
                  <a:rPr lang="en-US" sz="11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  <a:latin typeface="+mn-lt"/>
                    <a:cs typeface="Arial" panose="020B0604020202020204" pitchFamily="34" charset="0"/>
                  </a:rPr>
                  <a:t> </a:t>
                </a:r>
                <a:r>
                  <a:rPr lang="ru-RU" sz="11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  <a:latin typeface="+mn-lt"/>
                    <a:cs typeface="Arial" panose="020B0604020202020204" pitchFamily="34" charset="0"/>
                  </a:rPr>
                  <a:t>сессий</a:t>
                </a:r>
              </a:p>
            </c:rich>
          </c:tx>
          <c:layout>
            <c:manualLayout>
              <c:xMode val="edge"/>
              <c:yMode val="edge"/>
              <c:x val="1.6451084640061019E-2"/>
              <c:y val="0.29581902548714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9024880"/>
        <c:crosses val="autoZero"/>
        <c:crossBetween val="between"/>
      </c:valAx>
      <c:valAx>
        <c:axId val="14789912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  <a:latin typeface="+mn-lt"/>
                    <a:cs typeface="Arial" panose="020B0604020202020204" pitchFamily="34" charset="0"/>
                  </a:rPr>
                  <a:t>Доли сессий</a:t>
                </a:r>
              </a:p>
            </c:rich>
          </c:tx>
          <c:layout>
            <c:manualLayout>
              <c:xMode val="edge"/>
              <c:yMode val="edge"/>
              <c:x val="0.8500081934202669"/>
              <c:y val="0.31620271346678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8992720"/>
        <c:crosses val="max"/>
        <c:crossBetween val="between"/>
      </c:valAx>
      <c:dateAx>
        <c:axId val="1478992720"/>
        <c:scaling>
          <c:orientation val="minMax"/>
        </c:scaling>
        <c:delete val="1"/>
        <c:axPos val="b"/>
        <c:numFmt formatCode="mm/yyyy" sourceLinked="1"/>
        <c:majorTickMark val="out"/>
        <c:minorTickMark val="none"/>
        <c:tickLblPos val="nextTo"/>
        <c:crossAx val="147899128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354497354497353"/>
          <c:y val="0.16086026560112821"/>
          <c:w val="9.5873015873015874E-2"/>
          <c:h val="0.516056985414136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600" b="1" i="0" u="none" strike="noStrike" kern="1200" spc="0" baseline="0" dirty="0">
                <a:solidFill>
                  <a:schemeClr val="tx1"/>
                </a:solidFill>
                <a:latin typeface="+mn-lt"/>
                <a:cs typeface="Arial" panose="020B0604020202020204" pitchFamily="34" charset="0"/>
              </a:rPr>
              <a:t>Динамика пользовательской базы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 запроса'!$N$1</c:f>
              <c:strCache>
                <c:ptCount val="1"/>
                <c:pt idx="0">
                  <c:v>Количество пользователей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E3-48E0-8F63-72E55A53D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запроса'!$M$2:$M$10</c:f>
              <c:numCache>
                <c:formatCode>mm/yyyy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'Результат запроса'!$N$2:$N$10</c:f>
              <c:numCache>
                <c:formatCode>General</c:formatCode>
                <c:ptCount val="9"/>
                <c:pt idx="0">
                  <c:v>259</c:v>
                </c:pt>
                <c:pt idx="1">
                  <c:v>235</c:v>
                </c:pt>
                <c:pt idx="2">
                  <c:v>257</c:v>
                </c:pt>
                <c:pt idx="3">
                  <c:v>263</c:v>
                </c:pt>
                <c:pt idx="4">
                  <c:v>255</c:v>
                </c:pt>
                <c:pt idx="5">
                  <c:v>255</c:v>
                </c:pt>
                <c:pt idx="6">
                  <c:v>415</c:v>
                </c:pt>
                <c:pt idx="7">
                  <c:v>458</c:v>
                </c:pt>
                <c:pt idx="8">
                  <c:v>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E3-48E0-8F63-72E55A53D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640064"/>
        <c:axId val="38641024"/>
      </c:lineChart>
      <c:dateAx>
        <c:axId val="38640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41024"/>
        <c:crosses val="autoZero"/>
        <c:auto val="1"/>
        <c:lblOffset val="100"/>
        <c:baseTimeUnit val="months"/>
      </c:dateAx>
      <c:valAx>
        <c:axId val="386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Количество пользователей</a:t>
                </a:r>
              </a:p>
            </c:rich>
          </c:tx>
          <c:layout>
            <c:manualLayout>
              <c:xMode val="edge"/>
              <c:yMode val="edge"/>
              <c:x val="1.8518518518518517E-2"/>
              <c:y val="0.212881940482077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4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alpha val="99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r>
              <a:rPr lang="ru-RU" sz="1600" b="1">
                <a:solidFill>
                  <a:schemeClr val="tx1"/>
                </a:solidFill>
                <a:latin typeface="+mn-lt"/>
                <a:cs typeface="Arial" panose="020B0604020202020204" pitchFamily="34" charset="0"/>
              </a:rPr>
              <a:t>Средняя продолжительность одной</a:t>
            </a:r>
            <a:r>
              <a:rPr lang="ru-RU" sz="1600" b="1" baseline="0">
                <a:solidFill>
                  <a:schemeClr val="tx1"/>
                </a:solidFill>
                <a:latin typeface="+mn-lt"/>
                <a:cs typeface="Arial" panose="020B0604020202020204" pitchFamily="34" charset="0"/>
              </a:rPr>
              <a:t> игровой сессии</a:t>
            </a:r>
            <a:r>
              <a:rPr lang="ru-RU" sz="1600" b="1">
                <a:solidFill>
                  <a:schemeClr val="tx1"/>
                </a:solidFill>
                <a:latin typeface="+mn-lt"/>
                <a:cs typeface="Arial" panose="020B0604020202020204" pitchFamily="34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 запроса'!$N$50</c:f>
              <c:strCache>
                <c:ptCount val="1"/>
                <c:pt idx="0">
                  <c:v>Средняя продолжительность сессии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71-4BC5-A011-590A4B2958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запроса'!$M$51:$M$60</c:f>
              <c:numCache>
                <c:formatCode>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запроса'!$N$51:$N$60</c:f>
              <c:numCache>
                <c:formatCode>0.0</c:formatCode>
                <c:ptCount val="10"/>
                <c:pt idx="0">
                  <c:v>2.2188248095756289</c:v>
                </c:pt>
                <c:pt idx="1">
                  <c:v>2.3230326108182</c:v>
                </c:pt>
                <c:pt idx="2">
                  <c:v>2.276093294460638</c:v>
                </c:pt>
                <c:pt idx="3">
                  <c:v>2.3715035931453801</c:v>
                </c:pt>
                <c:pt idx="4">
                  <c:v>2.5163474328278816</c:v>
                </c:pt>
                <c:pt idx="5">
                  <c:v>2.7311819172113285</c:v>
                </c:pt>
                <c:pt idx="6">
                  <c:v>2.3998779342722956</c:v>
                </c:pt>
                <c:pt idx="7">
                  <c:v>2.2895430218196764</c:v>
                </c:pt>
                <c:pt idx="8">
                  <c:v>5.5359777492511801</c:v>
                </c:pt>
                <c:pt idx="9">
                  <c:v>2.3343766060232283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1-4BC5-A011-590A4B295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807232"/>
        <c:axId val="1930804352"/>
      </c:lineChart>
      <c:dateAx>
        <c:axId val="1930807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/>
                  <a:t>Дата</a:t>
                </a:r>
              </a:p>
            </c:rich>
          </c:tx>
          <c:layout>
            <c:manualLayout>
              <c:xMode val="edge"/>
              <c:yMode val="edge"/>
              <c:x val="0.47753058038700252"/>
              <c:y val="0.913101542591373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0804352"/>
        <c:crosses val="autoZero"/>
        <c:auto val="1"/>
        <c:lblOffset val="100"/>
        <c:baseTimeUnit val="months"/>
      </c:dateAx>
      <c:valAx>
        <c:axId val="193080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/>
                  <a:t>Продолжительность (час)</a:t>
                </a:r>
              </a:p>
            </c:rich>
          </c:tx>
          <c:layout>
            <c:manualLayout>
              <c:xMode val="edge"/>
              <c:yMode val="edge"/>
              <c:x val="8.8300233029181899E-3"/>
              <c:y val="0.194089896788716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080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600" b="1">
                <a:solidFill>
                  <a:schemeClr val="tx1"/>
                </a:solidFill>
              </a:rPr>
              <a:t>Клиентские оплаты по месяцам по типу продукта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 запроса'!$N$73</c:f>
              <c:strCache>
                <c:ptCount val="1"/>
                <c:pt idx="0">
                  <c:v>Ammo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запроса'!$M$74:$M$83</c:f>
              <c:numCache>
                <c:formatCode>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запроса'!$N$74:$N$83</c:f>
              <c:numCache>
                <c:formatCode>General</c:formatCode>
                <c:ptCount val="10"/>
                <c:pt idx="0">
                  <c:v>11500</c:v>
                </c:pt>
                <c:pt idx="1">
                  <c:v>14750</c:v>
                </c:pt>
                <c:pt idx="2">
                  <c:v>18500</c:v>
                </c:pt>
                <c:pt idx="3">
                  <c:v>16250</c:v>
                </c:pt>
                <c:pt idx="4">
                  <c:v>22250</c:v>
                </c:pt>
                <c:pt idx="5">
                  <c:v>11250</c:v>
                </c:pt>
                <c:pt idx="6">
                  <c:v>31000</c:v>
                </c:pt>
                <c:pt idx="7">
                  <c:v>32500</c:v>
                </c:pt>
                <c:pt idx="8">
                  <c:v>49000</c:v>
                </c:pt>
                <c:pt idx="9">
                  <c:v>16750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B-48C6-9AD7-C67A1A712881}"/>
            </c:ext>
          </c:extLst>
        </c:ser>
        <c:ser>
          <c:idx val="1"/>
          <c:order val="1"/>
          <c:tx>
            <c:strRef>
              <c:f>'Результат запроса'!$O$73</c:f>
              <c:strCache>
                <c:ptCount val="1"/>
                <c:pt idx="0">
                  <c:v>Currency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7B-48C6-9AD7-C67A1A7128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запроса'!$M$74:$M$83</c:f>
              <c:numCache>
                <c:formatCode>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запроса'!$O$74:$O$83</c:f>
              <c:numCache>
                <c:formatCode>General</c:formatCode>
                <c:ptCount val="10"/>
                <c:pt idx="0">
                  <c:v>12930</c:v>
                </c:pt>
                <c:pt idx="1">
                  <c:v>39170</c:v>
                </c:pt>
                <c:pt idx="2">
                  <c:v>25580</c:v>
                </c:pt>
                <c:pt idx="3">
                  <c:v>31280</c:v>
                </c:pt>
                <c:pt idx="4">
                  <c:v>24580</c:v>
                </c:pt>
                <c:pt idx="5">
                  <c:v>26730</c:v>
                </c:pt>
                <c:pt idx="6">
                  <c:v>49300</c:v>
                </c:pt>
                <c:pt idx="7">
                  <c:v>45180</c:v>
                </c:pt>
                <c:pt idx="8">
                  <c:v>106440</c:v>
                </c:pt>
                <c:pt idx="9">
                  <c:v>39800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7B-48C6-9AD7-C67A1A712881}"/>
            </c:ext>
          </c:extLst>
        </c:ser>
        <c:ser>
          <c:idx val="2"/>
          <c:order val="2"/>
          <c:tx>
            <c:strRef>
              <c:f>'Результат запроса'!$P$73</c:f>
              <c:strCache>
                <c:ptCount val="1"/>
                <c:pt idx="0">
                  <c:v>Materials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запроса'!$M$74:$M$83</c:f>
              <c:numCache>
                <c:formatCode>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запроса'!$P$74:$P$83</c:f>
              <c:numCache>
                <c:formatCode>General</c:formatCode>
                <c:ptCount val="10"/>
                <c:pt idx="0">
                  <c:v>14700</c:v>
                </c:pt>
                <c:pt idx="1">
                  <c:v>11900</c:v>
                </c:pt>
                <c:pt idx="2">
                  <c:v>21800</c:v>
                </c:pt>
                <c:pt idx="3">
                  <c:v>18800</c:v>
                </c:pt>
                <c:pt idx="4">
                  <c:v>20400</c:v>
                </c:pt>
                <c:pt idx="5">
                  <c:v>18800</c:v>
                </c:pt>
                <c:pt idx="6">
                  <c:v>27000</c:v>
                </c:pt>
                <c:pt idx="7">
                  <c:v>30200</c:v>
                </c:pt>
                <c:pt idx="8">
                  <c:v>46500</c:v>
                </c:pt>
                <c:pt idx="9">
                  <c:v>26500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7B-48C6-9AD7-C67A1A712881}"/>
            </c:ext>
          </c:extLst>
        </c:ser>
        <c:ser>
          <c:idx val="3"/>
          <c:order val="3"/>
          <c:tx>
            <c:strRef>
              <c:f>'Результат запроса'!$Q$73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запроса'!$M$74:$M$83</c:f>
              <c:numCache>
                <c:formatCode>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запроса'!$Q$74:$Q$83</c:f>
              <c:numCache>
                <c:formatCode>General</c:formatCode>
                <c:ptCount val="10"/>
                <c:pt idx="0">
                  <c:v>9485</c:v>
                </c:pt>
                <c:pt idx="1">
                  <c:v>11681</c:v>
                </c:pt>
                <c:pt idx="2">
                  <c:v>5291</c:v>
                </c:pt>
                <c:pt idx="3">
                  <c:v>9584</c:v>
                </c:pt>
                <c:pt idx="4">
                  <c:v>10782</c:v>
                </c:pt>
                <c:pt idx="5">
                  <c:v>5691</c:v>
                </c:pt>
                <c:pt idx="6">
                  <c:v>15374</c:v>
                </c:pt>
                <c:pt idx="7">
                  <c:v>15374</c:v>
                </c:pt>
                <c:pt idx="8">
                  <c:v>13578</c:v>
                </c:pt>
                <c:pt idx="9">
                  <c:v>10281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7B-48C6-9AD7-C67A1A712881}"/>
            </c:ext>
          </c:extLst>
        </c:ser>
        <c:ser>
          <c:idx val="4"/>
          <c:order val="4"/>
          <c:tx>
            <c:strRef>
              <c:f>'Результат запроса'!$R$73</c:f>
              <c:strCache>
                <c:ptCount val="1"/>
                <c:pt idx="0">
                  <c:v>Weapon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запроса'!$M$74:$M$83</c:f>
              <c:numCache>
                <c:formatCode>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запроса'!$R$74:$R$83</c:f>
              <c:numCache>
                <c:formatCode>General</c:formatCode>
                <c:ptCount val="10"/>
                <c:pt idx="0">
                  <c:v>798</c:v>
                </c:pt>
                <c:pt idx="1">
                  <c:v>1270</c:v>
                </c:pt>
                <c:pt idx="2">
                  <c:v>2039</c:v>
                </c:pt>
                <c:pt idx="3">
                  <c:v>599</c:v>
                </c:pt>
                <c:pt idx="4">
                  <c:v>1807</c:v>
                </c:pt>
                <c:pt idx="5">
                  <c:v>609</c:v>
                </c:pt>
                <c:pt idx="6">
                  <c:v>4064</c:v>
                </c:pt>
                <c:pt idx="7">
                  <c:v>1258</c:v>
                </c:pt>
                <c:pt idx="8">
                  <c:v>3670</c:v>
                </c:pt>
                <c:pt idx="9">
                  <c:v>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7B-48C6-9AD7-C67A1A712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735247"/>
        <c:axId val="1713266399"/>
      </c:lineChart>
      <c:dateAx>
        <c:axId val="816735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3266399"/>
        <c:crosses val="autoZero"/>
        <c:auto val="1"/>
        <c:lblOffset val="100"/>
        <c:baseTimeUnit val="months"/>
      </c:dateAx>
      <c:valAx>
        <c:axId val="171326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/>
                  <a:t>Сумма</a:t>
                </a:r>
                <a:r>
                  <a:rPr lang="ru-RU" sz="1100" baseline="0"/>
                  <a:t> оплат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673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600" b="1">
                <a:solidFill>
                  <a:schemeClr val="tx1"/>
                </a:solidFill>
              </a:rPr>
              <a:t>Динамика</a:t>
            </a:r>
            <a:r>
              <a:rPr lang="ru-RU" sz="1600" b="1" baseline="0">
                <a:solidFill>
                  <a:schemeClr val="tx1"/>
                </a:solidFill>
              </a:rPr>
              <a:t> среднего количества приобретаемых кристаллов на одну покупку и выручка</a:t>
            </a:r>
            <a:endParaRPr lang="ru-RU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3336416281298169"/>
          <c:y val="1.05401829952820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404171700759626"/>
          <c:y val="0.20202017407624009"/>
          <c:w val="0.78635656654029362"/>
          <c:h val="0.60053259738326825"/>
        </c:manualLayout>
      </c:layout>
      <c:lineChart>
        <c:grouping val="standard"/>
        <c:varyColors val="0"/>
        <c:ser>
          <c:idx val="1"/>
          <c:order val="1"/>
          <c:tx>
            <c:strRef>
              <c:f>'Результат запроса'!$O$97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4.0564373897707229E-2"/>
                  <c:y val="-4.2160731981128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84-4D48-BE06-EEC6C8D79E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запроса'!$M$98:$M$107</c:f>
              <c:numCache>
                <c:formatCode>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запроса'!$O$98:$O$107</c:f>
              <c:numCache>
                <c:formatCode>General</c:formatCode>
                <c:ptCount val="10"/>
                <c:pt idx="0">
                  <c:v>4930</c:v>
                </c:pt>
                <c:pt idx="1">
                  <c:v>17170</c:v>
                </c:pt>
                <c:pt idx="2">
                  <c:v>12580</c:v>
                </c:pt>
                <c:pt idx="3">
                  <c:v>14280</c:v>
                </c:pt>
                <c:pt idx="4">
                  <c:v>12580</c:v>
                </c:pt>
                <c:pt idx="5">
                  <c:v>11730</c:v>
                </c:pt>
                <c:pt idx="6">
                  <c:v>14300</c:v>
                </c:pt>
                <c:pt idx="7">
                  <c:v>12980</c:v>
                </c:pt>
                <c:pt idx="8">
                  <c:v>37840</c:v>
                </c:pt>
                <c:pt idx="9">
                  <c:v>13200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84-4D48-BE06-EEC6C8D79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395103"/>
        <c:axId val="815398463"/>
      </c:lineChart>
      <c:lineChart>
        <c:grouping val="standard"/>
        <c:varyColors val="0"/>
        <c:ser>
          <c:idx val="0"/>
          <c:order val="0"/>
          <c:tx>
            <c:strRef>
              <c:f>'Результат запроса'!$N$97</c:f>
              <c:strCache>
                <c:ptCount val="1"/>
                <c:pt idx="0">
                  <c:v>avg_cnt_buy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запроса'!$M$98:$M$107</c:f>
              <c:numCache>
                <c:formatCode>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запроса'!$N$98:$N$107</c:f>
              <c:numCache>
                <c:formatCode>0</c:formatCode>
                <c:ptCount val="10"/>
                <c:pt idx="0">
                  <c:v>29</c:v>
                </c:pt>
                <c:pt idx="1">
                  <c:v>31.5625</c:v>
                </c:pt>
                <c:pt idx="2">
                  <c:v>32.173913043478258</c:v>
                </c:pt>
                <c:pt idx="3">
                  <c:v>28</c:v>
                </c:pt>
                <c:pt idx="4">
                  <c:v>29.6</c:v>
                </c:pt>
                <c:pt idx="5">
                  <c:v>30</c:v>
                </c:pt>
                <c:pt idx="6">
                  <c:v>19.117647058823529</c:v>
                </c:pt>
                <c:pt idx="7">
                  <c:v>17.352941176470587</c:v>
                </c:pt>
                <c:pt idx="8">
                  <c:v>22.051282051282051</c:v>
                </c:pt>
                <c:pt idx="9">
                  <c:v>23.076923076923077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84-4D48-BE06-EEC6C8D79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171439"/>
        <c:axId val="1552172399"/>
      </c:lineChart>
      <c:dateAx>
        <c:axId val="815395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50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5398463"/>
        <c:crosses val="autoZero"/>
        <c:auto val="1"/>
        <c:lblOffset val="100"/>
        <c:baseTimeUnit val="months"/>
      </c:dateAx>
      <c:valAx>
        <c:axId val="81539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50"/>
                  <a:t>Сумма</a:t>
                </a:r>
                <a:r>
                  <a:rPr lang="ru-RU" sz="1050" baseline="0"/>
                  <a:t> оплат</a:t>
                </a:r>
                <a:endParaRPr lang="ru-RU" sz="1050"/>
              </a:p>
            </c:rich>
          </c:tx>
          <c:layout>
            <c:manualLayout>
              <c:xMode val="edge"/>
              <c:yMode val="edge"/>
              <c:x val="2.184310294546515E-2"/>
              <c:y val="0.369620702800590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5395103"/>
        <c:crosses val="autoZero"/>
        <c:crossBetween val="between"/>
      </c:valAx>
      <c:valAx>
        <c:axId val="15521723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50"/>
                  <a:t>Среднее</a:t>
                </a:r>
                <a:r>
                  <a:rPr lang="ru-RU" sz="1050" baseline="0"/>
                  <a:t> количество</a:t>
                </a:r>
              </a:p>
            </c:rich>
          </c:tx>
          <c:layout>
            <c:manualLayout>
              <c:xMode val="edge"/>
              <c:yMode val="edge"/>
              <c:x val="0.96436500992931429"/>
              <c:y val="0.317086604893632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2171439"/>
        <c:crosses val="max"/>
        <c:crossBetween val="between"/>
      </c:valAx>
      <c:dateAx>
        <c:axId val="1552171439"/>
        <c:scaling>
          <c:orientation val="minMax"/>
        </c:scaling>
        <c:delete val="1"/>
        <c:axPos val="b"/>
        <c:numFmt formatCode="mm/yyyy" sourceLinked="1"/>
        <c:majorTickMark val="out"/>
        <c:minorTickMark val="none"/>
        <c:tickLblPos val="nextTo"/>
        <c:crossAx val="155217239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919551722701332"/>
          <c:y val="0.92730178508096561"/>
          <c:w val="0.28160896554597342"/>
          <c:h val="6.60193542932534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600" b="1">
                <a:solidFill>
                  <a:schemeClr val="tx1"/>
                </a:solidFill>
              </a:rPr>
              <a:t>Динамика лояльных</a:t>
            </a:r>
            <a:r>
              <a:rPr lang="ru-RU" sz="1600" b="1" baseline="0">
                <a:solidFill>
                  <a:schemeClr val="tx1"/>
                </a:solidFill>
              </a:rPr>
              <a:t> пользователей по критерию приглашения</a:t>
            </a:r>
          </a:p>
        </c:rich>
      </c:tx>
      <c:layout>
        <c:manualLayout>
          <c:xMode val="edge"/>
          <c:yMode val="edge"/>
          <c:x val="0.10614131511706731"/>
          <c:y val="2.1248337010894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 запроса'!$N$121</c:f>
              <c:strCache>
                <c:ptCount val="1"/>
                <c:pt idx="0">
                  <c:v>cnt_users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82-4B85-9659-B6B6FD043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запроса'!$M$122:$M$131</c:f>
              <c:numCache>
                <c:formatCode>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запроса'!$N$122:$N$131</c:f>
              <c:numCache>
                <c:formatCode>General</c:formatCode>
                <c:ptCount val="10"/>
                <c:pt idx="0">
                  <c:v>77</c:v>
                </c:pt>
                <c:pt idx="1">
                  <c:v>148</c:v>
                </c:pt>
                <c:pt idx="2">
                  <c:v>142</c:v>
                </c:pt>
                <c:pt idx="3">
                  <c:v>133</c:v>
                </c:pt>
                <c:pt idx="4">
                  <c:v>158</c:v>
                </c:pt>
                <c:pt idx="5">
                  <c:v>154</c:v>
                </c:pt>
                <c:pt idx="6">
                  <c:v>213</c:v>
                </c:pt>
                <c:pt idx="7">
                  <c:v>250</c:v>
                </c:pt>
                <c:pt idx="8">
                  <c:v>532</c:v>
                </c:pt>
                <c:pt idx="9">
                  <c:v>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82-4B85-9659-B6B6FD043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859439"/>
        <c:axId val="833858479"/>
      </c:lineChart>
      <c:dateAx>
        <c:axId val="833859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50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858479"/>
        <c:crosses val="autoZero"/>
        <c:auto val="1"/>
        <c:lblOffset val="100"/>
        <c:baseTimeUnit val="months"/>
      </c:dateAx>
      <c:valAx>
        <c:axId val="83385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50"/>
                  <a:t>Количество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85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600" b="1">
                <a:solidFill>
                  <a:schemeClr val="tx1"/>
                </a:solidFill>
              </a:rPr>
              <a:t>Динамика</a:t>
            </a:r>
            <a:r>
              <a:rPr lang="ru-RU" sz="1600" b="1" baseline="0">
                <a:solidFill>
                  <a:schemeClr val="tx1"/>
                </a:solidFill>
              </a:rPr>
              <a:t> лояльных пользователей по критерию оплаты минимум 1000 рублей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 запроса'!$N$145</c:f>
              <c:strCache>
                <c:ptCount val="1"/>
                <c:pt idx="0">
                  <c:v>cnt_users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83-4C3F-B602-B389010485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запроса'!$M$146:$M$155</c:f>
              <c:numCache>
                <c:formatCode>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запроса'!$N$146:$N$155</c:f>
              <c:numCache>
                <c:formatCode>General</c:formatCode>
                <c:ptCount val="10"/>
                <c:pt idx="0">
                  <c:v>30</c:v>
                </c:pt>
                <c:pt idx="1">
                  <c:v>52</c:v>
                </c:pt>
                <c:pt idx="2">
                  <c:v>49</c:v>
                </c:pt>
                <c:pt idx="3">
                  <c:v>61</c:v>
                </c:pt>
                <c:pt idx="4">
                  <c:v>67</c:v>
                </c:pt>
                <c:pt idx="5">
                  <c:v>57</c:v>
                </c:pt>
                <c:pt idx="6">
                  <c:v>78</c:v>
                </c:pt>
                <c:pt idx="7">
                  <c:v>111</c:v>
                </c:pt>
                <c:pt idx="8">
                  <c:v>230</c:v>
                </c:pt>
                <c:pt idx="9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83-4C3F-B602-B38901048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2162799"/>
        <c:axId val="1552181039"/>
      </c:lineChart>
      <c:dateAx>
        <c:axId val="1552162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50"/>
                  <a:t>Дата</a:t>
                </a:r>
              </a:p>
            </c:rich>
          </c:tx>
          <c:layout>
            <c:manualLayout>
              <c:xMode val="edge"/>
              <c:yMode val="edge"/>
              <c:x val="0.46869803097598267"/>
              <c:y val="0.917399231042908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2181039"/>
        <c:crosses val="autoZero"/>
        <c:auto val="1"/>
        <c:lblOffset val="100"/>
        <c:baseTimeUnit val="months"/>
      </c:dateAx>
      <c:valAx>
        <c:axId val="155218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50"/>
                  <a:t>Количество</a:t>
                </a:r>
              </a:p>
            </c:rich>
          </c:tx>
          <c:layout>
            <c:manualLayout>
              <c:xMode val="edge"/>
              <c:yMode val="edge"/>
              <c:x val="1.4090708938793483E-2"/>
              <c:y val="0.402465020534556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216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600" b="1">
                <a:solidFill>
                  <a:schemeClr val="tx1"/>
                </a:solidFill>
              </a:rPr>
              <a:t>Динамика лояльных</a:t>
            </a:r>
            <a:r>
              <a:rPr lang="ru-RU" sz="1600" b="1" baseline="0">
                <a:solidFill>
                  <a:schemeClr val="tx1"/>
                </a:solidFill>
              </a:rPr>
              <a:t> пользователей по критерию приглашения и оплаты минимум 1000 рублей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76573761613132"/>
          <c:y val="0.20808451539479081"/>
          <c:w val="0.8798339096501826"/>
          <c:h val="0.63577880141894527"/>
        </c:manualLayout>
      </c:layout>
      <c:lineChart>
        <c:grouping val="standard"/>
        <c:varyColors val="0"/>
        <c:ser>
          <c:idx val="0"/>
          <c:order val="0"/>
          <c:tx>
            <c:strRef>
              <c:f>'Результат запроса'!$N$169</c:f>
              <c:strCache>
                <c:ptCount val="1"/>
                <c:pt idx="0">
                  <c:v>cnt_users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48-4119-B129-D2D5411F78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запроса'!$M$170:$M$179</c:f>
              <c:numCache>
                <c:formatCode>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запроса'!$N$170:$N$179</c:f>
              <c:numCache>
                <c:formatCode>General</c:formatCode>
                <c:ptCount val="10"/>
                <c:pt idx="0">
                  <c:v>11</c:v>
                </c:pt>
                <c:pt idx="1">
                  <c:v>18</c:v>
                </c:pt>
                <c:pt idx="2">
                  <c:v>17</c:v>
                </c:pt>
                <c:pt idx="3">
                  <c:v>18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35</c:v>
                </c:pt>
                <c:pt idx="8">
                  <c:v>76</c:v>
                </c:pt>
                <c:pt idx="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48-4119-B129-D2D5411F7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2159919"/>
        <c:axId val="1552186319"/>
      </c:lineChart>
      <c:dateAx>
        <c:axId val="155215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50"/>
                  <a:t>Дата</a:t>
                </a:r>
              </a:p>
            </c:rich>
          </c:tx>
          <c:layout>
            <c:manualLayout>
              <c:xMode val="edge"/>
              <c:yMode val="edge"/>
              <c:x val="0.48021969476037718"/>
              <c:y val="0.917463406461698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2186319"/>
        <c:crosses val="autoZero"/>
        <c:auto val="1"/>
        <c:lblOffset val="100"/>
        <c:baseTimeUnit val="months"/>
      </c:dateAx>
      <c:valAx>
        <c:axId val="155218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50"/>
                  <a:t>Кщличество</a:t>
                </a:r>
              </a:p>
            </c:rich>
          </c:tx>
          <c:layout>
            <c:manualLayout>
              <c:xMode val="edge"/>
              <c:yMode val="edge"/>
              <c:x val="1.7636684303350969E-2"/>
              <c:y val="0.410993747110087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215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 i="0" u="none" strike="noStrike" kern="1200" spc="0" baseline="0">
                <a:solidFill>
                  <a:schemeClr val="tx1"/>
                </a:solidFill>
              </a:rPr>
              <a:t>Динамика лояльных пользователей по критерию приглашения или оплаты минимум 1000 рублей</a:t>
            </a:r>
            <a:endParaRPr lang="en-US" sz="1600" b="1" i="0" u="none" strike="noStrike" kern="1200" spc="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01619996175974"/>
          <c:y val="0.20699077302061136"/>
          <c:w val="0.86455775147311886"/>
          <c:h val="0.63769323583856907"/>
        </c:manualLayout>
      </c:layout>
      <c:lineChart>
        <c:grouping val="standard"/>
        <c:varyColors val="0"/>
        <c:ser>
          <c:idx val="0"/>
          <c:order val="0"/>
          <c:tx>
            <c:strRef>
              <c:f>'Результат запроса'!$N$194</c:f>
              <c:strCache>
                <c:ptCount val="1"/>
                <c:pt idx="0">
                  <c:v>cnt_users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3A-4940-BCA0-01097F5E02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запроса'!$M$195:$M$204</c:f>
              <c:numCache>
                <c:formatCode>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запроса'!$N$195:$N$204</c:f>
              <c:numCache>
                <c:formatCode>General</c:formatCode>
                <c:ptCount val="10"/>
                <c:pt idx="0">
                  <c:v>96</c:v>
                </c:pt>
                <c:pt idx="1">
                  <c:v>182</c:v>
                </c:pt>
                <c:pt idx="2">
                  <c:v>174</c:v>
                </c:pt>
                <c:pt idx="3">
                  <c:v>176</c:v>
                </c:pt>
                <c:pt idx="4">
                  <c:v>200</c:v>
                </c:pt>
                <c:pt idx="5">
                  <c:v>185</c:v>
                </c:pt>
                <c:pt idx="6">
                  <c:v>264</c:v>
                </c:pt>
                <c:pt idx="7">
                  <c:v>326</c:v>
                </c:pt>
                <c:pt idx="8">
                  <c:v>686</c:v>
                </c:pt>
                <c:pt idx="9">
                  <c:v>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3A-4940-BCA0-01097F5E0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2188239"/>
        <c:axId val="1552178639"/>
      </c:lineChart>
      <c:dateAx>
        <c:axId val="1552188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2178639"/>
        <c:crosses val="autoZero"/>
        <c:auto val="1"/>
        <c:lblOffset val="100"/>
        <c:baseTimeUnit val="months"/>
      </c:dateAx>
      <c:valAx>
        <c:axId val="155217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50"/>
                  <a:t>Количество</a:t>
                </a:r>
              </a:p>
            </c:rich>
          </c:tx>
          <c:layout>
            <c:manualLayout>
              <c:xMode val="edge"/>
              <c:yMode val="edge"/>
              <c:x val="2.119205298013245E-2"/>
              <c:y val="0.393274991356863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218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DAU WAU MAU</a:t>
            </a:r>
            <a:endParaRPr lang="ru-RU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 запроса'!$AA$218</c:f>
              <c:strCache>
                <c:ptCount val="1"/>
                <c:pt idx="0">
                  <c:v>DAU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запроса'!$Z$219:$Z$521</c:f>
              <c:numCache>
                <c:formatCode>mm/yyyy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запроса'!$AA$219:$AA$521</c:f>
              <c:numCache>
                <c:formatCode>General</c:formatCode>
                <c:ptCount val="303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  <c:pt idx="5">
                  <c:v>13</c:v>
                </c:pt>
                <c:pt idx="6">
                  <c:v>22</c:v>
                </c:pt>
                <c:pt idx="7">
                  <c:v>22</c:v>
                </c:pt>
                <c:pt idx="8">
                  <c:v>26</c:v>
                </c:pt>
                <c:pt idx="9">
                  <c:v>23</c:v>
                </c:pt>
                <c:pt idx="10">
                  <c:v>24</c:v>
                </c:pt>
                <c:pt idx="11">
                  <c:v>30</c:v>
                </c:pt>
                <c:pt idx="12">
                  <c:v>32</c:v>
                </c:pt>
                <c:pt idx="13">
                  <c:v>25</c:v>
                </c:pt>
                <c:pt idx="14">
                  <c:v>34</c:v>
                </c:pt>
                <c:pt idx="15">
                  <c:v>39</c:v>
                </c:pt>
                <c:pt idx="16">
                  <c:v>22</c:v>
                </c:pt>
                <c:pt idx="17">
                  <c:v>38</c:v>
                </c:pt>
                <c:pt idx="18">
                  <c:v>34</c:v>
                </c:pt>
                <c:pt idx="19">
                  <c:v>50</c:v>
                </c:pt>
                <c:pt idx="20">
                  <c:v>43</c:v>
                </c:pt>
                <c:pt idx="21">
                  <c:v>43</c:v>
                </c:pt>
                <c:pt idx="22">
                  <c:v>53</c:v>
                </c:pt>
                <c:pt idx="23">
                  <c:v>63</c:v>
                </c:pt>
                <c:pt idx="24">
                  <c:v>48</c:v>
                </c:pt>
                <c:pt idx="25">
                  <c:v>59</c:v>
                </c:pt>
                <c:pt idx="26">
                  <c:v>59</c:v>
                </c:pt>
                <c:pt idx="27">
                  <c:v>61</c:v>
                </c:pt>
                <c:pt idx="28">
                  <c:v>64</c:v>
                </c:pt>
                <c:pt idx="29">
                  <c:v>64</c:v>
                </c:pt>
                <c:pt idx="30">
                  <c:v>52</c:v>
                </c:pt>
                <c:pt idx="31">
                  <c:v>62</c:v>
                </c:pt>
                <c:pt idx="32">
                  <c:v>55</c:v>
                </c:pt>
                <c:pt idx="33">
                  <c:v>60</c:v>
                </c:pt>
                <c:pt idx="34">
                  <c:v>52</c:v>
                </c:pt>
                <c:pt idx="35">
                  <c:v>62</c:v>
                </c:pt>
                <c:pt idx="36">
                  <c:v>59</c:v>
                </c:pt>
                <c:pt idx="37">
                  <c:v>58</c:v>
                </c:pt>
                <c:pt idx="38">
                  <c:v>53</c:v>
                </c:pt>
                <c:pt idx="39">
                  <c:v>55</c:v>
                </c:pt>
                <c:pt idx="40">
                  <c:v>65</c:v>
                </c:pt>
                <c:pt idx="41">
                  <c:v>54</c:v>
                </c:pt>
                <c:pt idx="42">
                  <c:v>74</c:v>
                </c:pt>
                <c:pt idx="43">
                  <c:v>59</c:v>
                </c:pt>
                <c:pt idx="44">
                  <c:v>54</c:v>
                </c:pt>
                <c:pt idx="45">
                  <c:v>68</c:v>
                </c:pt>
                <c:pt idx="46">
                  <c:v>59</c:v>
                </c:pt>
                <c:pt idx="47">
                  <c:v>61</c:v>
                </c:pt>
                <c:pt idx="48">
                  <c:v>58</c:v>
                </c:pt>
                <c:pt idx="49">
                  <c:v>67</c:v>
                </c:pt>
                <c:pt idx="50">
                  <c:v>62</c:v>
                </c:pt>
                <c:pt idx="51">
                  <c:v>53</c:v>
                </c:pt>
                <c:pt idx="52">
                  <c:v>60</c:v>
                </c:pt>
                <c:pt idx="53">
                  <c:v>67</c:v>
                </c:pt>
                <c:pt idx="54">
                  <c:v>67</c:v>
                </c:pt>
                <c:pt idx="55">
                  <c:v>61</c:v>
                </c:pt>
                <c:pt idx="56">
                  <c:v>63</c:v>
                </c:pt>
                <c:pt idx="57">
                  <c:v>61</c:v>
                </c:pt>
                <c:pt idx="58">
                  <c:v>54</c:v>
                </c:pt>
                <c:pt idx="59">
                  <c:v>72</c:v>
                </c:pt>
                <c:pt idx="60">
                  <c:v>54</c:v>
                </c:pt>
                <c:pt idx="61">
                  <c:v>66</c:v>
                </c:pt>
                <c:pt idx="62">
                  <c:v>61</c:v>
                </c:pt>
                <c:pt idx="63">
                  <c:v>58</c:v>
                </c:pt>
                <c:pt idx="64">
                  <c:v>64</c:v>
                </c:pt>
                <c:pt idx="65">
                  <c:v>62</c:v>
                </c:pt>
                <c:pt idx="66">
                  <c:v>46</c:v>
                </c:pt>
                <c:pt idx="67">
                  <c:v>49</c:v>
                </c:pt>
                <c:pt idx="68">
                  <c:v>59</c:v>
                </c:pt>
                <c:pt idx="69">
                  <c:v>60</c:v>
                </c:pt>
                <c:pt idx="70">
                  <c:v>53</c:v>
                </c:pt>
                <c:pt idx="71">
                  <c:v>61</c:v>
                </c:pt>
                <c:pt idx="72">
                  <c:v>58</c:v>
                </c:pt>
                <c:pt idx="73">
                  <c:v>64</c:v>
                </c:pt>
                <c:pt idx="74">
                  <c:v>65</c:v>
                </c:pt>
                <c:pt idx="75">
                  <c:v>74</c:v>
                </c:pt>
                <c:pt idx="76">
                  <c:v>58</c:v>
                </c:pt>
                <c:pt idx="77">
                  <c:v>62</c:v>
                </c:pt>
                <c:pt idx="78">
                  <c:v>69</c:v>
                </c:pt>
                <c:pt idx="79">
                  <c:v>66</c:v>
                </c:pt>
                <c:pt idx="80">
                  <c:v>67</c:v>
                </c:pt>
                <c:pt idx="81">
                  <c:v>71</c:v>
                </c:pt>
                <c:pt idx="82">
                  <c:v>67</c:v>
                </c:pt>
                <c:pt idx="83">
                  <c:v>55</c:v>
                </c:pt>
                <c:pt idx="84">
                  <c:v>58</c:v>
                </c:pt>
                <c:pt idx="85">
                  <c:v>73</c:v>
                </c:pt>
                <c:pt idx="86">
                  <c:v>58</c:v>
                </c:pt>
                <c:pt idx="87">
                  <c:v>76</c:v>
                </c:pt>
                <c:pt idx="88">
                  <c:v>62</c:v>
                </c:pt>
                <c:pt idx="89">
                  <c:v>66</c:v>
                </c:pt>
                <c:pt idx="90">
                  <c:v>59</c:v>
                </c:pt>
                <c:pt idx="91">
                  <c:v>61</c:v>
                </c:pt>
                <c:pt idx="92">
                  <c:v>52</c:v>
                </c:pt>
                <c:pt idx="93">
                  <c:v>69</c:v>
                </c:pt>
                <c:pt idx="94">
                  <c:v>70</c:v>
                </c:pt>
                <c:pt idx="95">
                  <c:v>45</c:v>
                </c:pt>
                <c:pt idx="96">
                  <c:v>77</c:v>
                </c:pt>
                <c:pt idx="97">
                  <c:v>61</c:v>
                </c:pt>
                <c:pt idx="98">
                  <c:v>56</c:v>
                </c:pt>
                <c:pt idx="99">
                  <c:v>66</c:v>
                </c:pt>
                <c:pt idx="100">
                  <c:v>51</c:v>
                </c:pt>
                <c:pt idx="101">
                  <c:v>59</c:v>
                </c:pt>
                <c:pt idx="102">
                  <c:v>65</c:v>
                </c:pt>
                <c:pt idx="103">
                  <c:v>53</c:v>
                </c:pt>
                <c:pt idx="104">
                  <c:v>72</c:v>
                </c:pt>
                <c:pt idx="105">
                  <c:v>62</c:v>
                </c:pt>
                <c:pt idx="106">
                  <c:v>62</c:v>
                </c:pt>
                <c:pt idx="107">
                  <c:v>70</c:v>
                </c:pt>
                <c:pt idx="108">
                  <c:v>62</c:v>
                </c:pt>
                <c:pt idx="109">
                  <c:v>82</c:v>
                </c:pt>
                <c:pt idx="110">
                  <c:v>52</c:v>
                </c:pt>
                <c:pt idx="111">
                  <c:v>65</c:v>
                </c:pt>
                <c:pt idx="112">
                  <c:v>64</c:v>
                </c:pt>
                <c:pt idx="113">
                  <c:v>57</c:v>
                </c:pt>
                <c:pt idx="114">
                  <c:v>58</c:v>
                </c:pt>
                <c:pt idx="115">
                  <c:v>66</c:v>
                </c:pt>
                <c:pt idx="116">
                  <c:v>60</c:v>
                </c:pt>
                <c:pt idx="117">
                  <c:v>55</c:v>
                </c:pt>
                <c:pt idx="118">
                  <c:v>65</c:v>
                </c:pt>
                <c:pt idx="119">
                  <c:v>54</c:v>
                </c:pt>
                <c:pt idx="120">
                  <c:v>66</c:v>
                </c:pt>
                <c:pt idx="121">
                  <c:v>72</c:v>
                </c:pt>
                <c:pt idx="122">
                  <c:v>58</c:v>
                </c:pt>
                <c:pt idx="123">
                  <c:v>55</c:v>
                </c:pt>
                <c:pt idx="124">
                  <c:v>56</c:v>
                </c:pt>
                <c:pt idx="125">
                  <c:v>63</c:v>
                </c:pt>
                <c:pt idx="126">
                  <c:v>69</c:v>
                </c:pt>
                <c:pt idx="127">
                  <c:v>62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55</c:v>
                </c:pt>
                <c:pt idx="132">
                  <c:v>62</c:v>
                </c:pt>
                <c:pt idx="133">
                  <c:v>53</c:v>
                </c:pt>
                <c:pt idx="134">
                  <c:v>54</c:v>
                </c:pt>
                <c:pt idx="135">
                  <c:v>46</c:v>
                </c:pt>
                <c:pt idx="136">
                  <c:v>55</c:v>
                </c:pt>
                <c:pt idx="137">
                  <c:v>51</c:v>
                </c:pt>
                <c:pt idx="138">
                  <c:v>58</c:v>
                </c:pt>
                <c:pt idx="139">
                  <c:v>51</c:v>
                </c:pt>
                <c:pt idx="140">
                  <c:v>40</c:v>
                </c:pt>
                <c:pt idx="141">
                  <c:v>50</c:v>
                </c:pt>
                <c:pt idx="142">
                  <c:v>34</c:v>
                </c:pt>
                <c:pt idx="143">
                  <c:v>41</c:v>
                </c:pt>
                <c:pt idx="144">
                  <c:v>39</c:v>
                </c:pt>
                <c:pt idx="145">
                  <c:v>32</c:v>
                </c:pt>
                <c:pt idx="146">
                  <c:v>32</c:v>
                </c:pt>
                <c:pt idx="147">
                  <c:v>31</c:v>
                </c:pt>
                <c:pt idx="148">
                  <c:v>35</c:v>
                </c:pt>
                <c:pt idx="149">
                  <c:v>32</c:v>
                </c:pt>
                <c:pt idx="150">
                  <c:v>23</c:v>
                </c:pt>
                <c:pt idx="151">
                  <c:v>35</c:v>
                </c:pt>
                <c:pt idx="152">
                  <c:v>32</c:v>
                </c:pt>
                <c:pt idx="153">
                  <c:v>25</c:v>
                </c:pt>
                <c:pt idx="154">
                  <c:v>19</c:v>
                </c:pt>
                <c:pt idx="155">
                  <c:v>30</c:v>
                </c:pt>
                <c:pt idx="156">
                  <c:v>23</c:v>
                </c:pt>
                <c:pt idx="157">
                  <c:v>32</c:v>
                </c:pt>
                <c:pt idx="158">
                  <c:v>35</c:v>
                </c:pt>
                <c:pt idx="159">
                  <c:v>29</c:v>
                </c:pt>
                <c:pt idx="160">
                  <c:v>36</c:v>
                </c:pt>
                <c:pt idx="161">
                  <c:v>30</c:v>
                </c:pt>
                <c:pt idx="162">
                  <c:v>25</c:v>
                </c:pt>
                <c:pt idx="163">
                  <c:v>31</c:v>
                </c:pt>
                <c:pt idx="164">
                  <c:v>34</c:v>
                </c:pt>
                <c:pt idx="165">
                  <c:v>22</c:v>
                </c:pt>
                <c:pt idx="166">
                  <c:v>26</c:v>
                </c:pt>
                <c:pt idx="167">
                  <c:v>27</c:v>
                </c:pt>
                <c:pt idx="168">
                  <c:v>28</c:v>
                </c:pt>
                <c:pt idx="169">
                  <c:v>20</c:v>
                </c:pt>
                <c:pt idx="170">
                  <c:v>32</c:v>
                </c:pt>
                <c:pt idx="171">
                  <c:v>28</c:v>
                </c:pt>
                <c:pt idx="172">
                  <c:v>28</c:v>
                </c:pt>
                <c:pt idx="173">
                  <c:v>29</c:v>
                </c:pt>
                <c:pt idx="174">
                  <c:v>36</c:v>
                </c:pt>
                <c:pt idx="175">
                  <c:v>24</c:v>
                </c:pt>
                <c:pt idx="176">
                  <c:v>33</c:v>
                </c:pt>
                <c:pt idx="177">
                  <c:v>26</c:v>
                </c:pt>
                <c:pt idx="178">
                  <c:v>24</c:v>
                </c:pt>
                <c:pt idx="179">
                  <c:v>32</c:v>
                </c:pt>
                <c:pt idx="180">
                  <c:v>29</c:v>
                </c:pt>
                <c:pt idx="181">
                  <c:v>22</c:v>
                </c:pt>
                <c:pt idx="182">
                  <c:v>37</c:v>
                </c:pt>
                <c:pt idx="183">
                  <c:v>24</c:v>
                </c:pt>
                <c:pt idx="184">
                  <c:v>35</c:v>
                </c:pt>
                <c:pt idx="185">
                  <c:v>40</c:v>
                </c:pt>
                <c:pt idx="186">
                  <c:v>46</c:v>
                </c:pt>
                <c:pt idx="187">
                  <c:v>36</c:v>
                </c:pt>
                <c:pt idx="188">
                  <c:v>46</c:v>
                </c:pt>
                <c:pt idx="189">
                  <c:v>35</c:v>
                </c:pt>
                <c:pt idx="190">
                  <c:v>53</c:v>
                </c:pt>
                <c:pt idx="191">
                  <c:v>53</c:v>
                </c:pt>
                <c:pt idx="192">
                  <c:v>52</c:v>
                </c:pt>
                <c:pt idx="193">
                  <c:v>65</c:v>
                </c:pt>
                <c:pt idx="194">
                  <c:v>52</c:v>
                </c:pt>
                <c:pt idx="195">
                  <c:v>62</c:v>
                </c:pt>
                <c:pt idx="196">
                  <c:v>77</c:v>
                </c:pt>
                <c:pt idx="197">
                  <c:v>61</c:v>
                </c:pt>
                <c:pt idx="198">
                  <c:v>70</c:v>
                </c:pt>
                <c:pt idx="199">
                  <c:v>66</c:v>
                </c:pt>
                <c:pt idx="200">
                  <c:v>73</c:v>
                </c:pt>
                <c:pt idx="201">
                  <c:v>73</c:v>
                </c:pt>
                <c:pt idx="202">
                  <c:v>80</c:v>
                </c:pt>
                <c:pt idx="203">
                  <c:v>75</c:v>
                </c:pt>
                <c:pt idx="204">
                  <c:v>90</c:v>
                </c:pt>
                <c:pt idx="205">
                  <c:v>78</c:v>
                </c:pt>
                <c:pt idx="206">
                  <c:v>90</c:v>
                </c:pt>
                <c:pt idx="207">
                  <c:v>88</c:v>
                </c:pt>
                <c:pt idx="208">
                  <c:v>83</c:v>
                </c:pt>
                <c:pt idx="209">
                  <c:v>92</c:v>
                </c:pt>
                <c:pt idx="210">
                  <c:v>99</c:v>
                </c:pt>
                <c:pt idx="211">
                  <c:v>93</c:v>
                </c:pt>
                <c:pt idx="212">
                  <c:v>115</c:v>
                </c:pt>
                <c:pt idx="213">
                  <c:v>108</c:v>
                </c:pt>
                <c:pt idx="214">
                  <c:v>112</c:v>
                </c:pt>
                <c:pt idx="215">
                  <c:v>86</c:v>
                </c:pt>
                <c:pt idx="216">
                  <c:v>98</c:v>
                </c:pt>
                <c:pt idx="217">
                  <c:v>100</c:v>
                </c:pt>
                <c:pt idx="218">
                  <c:v>95</c:v>
                </c:pt>
                <c:pt idx="219">
                  <c:v>98</c:v>
                </c:pt>
                <c:pt idx="220">
                  <c:v>90</c:v>
                </c:pt>
                <c:pt idx="221">
                  <c:v>107</c:v>
                </c:pt>
                <c:pt idx="222">
                  <c:v>101</c:v>
                </c:pt>
                <c:pt idx="223">
                  <c:v>104</c:v>
                </c:pt>
                <c:pt idx="224">
                  <c:v>98</c:v>
                </c:pt>
                <c:pt idx="225">
                  <c:v>101</c:v>
                </c:pt>
                <c:pt idx="226">
                  <c:v>94</c:v>
                </c:pt>
                <c:pt idx="227">
                  <c:v>108</c:v>
                </c:pt>
                <c:pt idx="228">
                  <c:v>103</c:v>
                </c:pt>
                <c:pt idx="229">
                  <c:v>95</c:v>
                </c:pt>
                <c:pt idx="230">
                  <c:v>107</c:v>
                </c:pt>
                <c:pt idx="231">
                  <c:v>116</c:v>
                </c:pt>
                <c:pt idx="232">
                  <c:v>109</c:v>
                </c:pt>
                <c:pt idx="233">
                  <c:v>84</c:v>
                </c:pt>
                <c:pt idx="234">
                  <c:v>98</c:v>
                </c:pt>
                <c:pt idx="235">
                  <c:v>115</c:v>
                </c:pt>
                <c:pt idx="236">
                  <c:v>95</c:v>
                </c:pt>
                <c:pt idx="237">
                  <c:v>106</c:v>
                </c:pt>
                <c:pt idx="238">
                  <c:v>118</c:v>
                </c:pt>
                <c:pt idx="239">
                  <c:v>127</c:v>
                </c:pt>
                <c:pt idx="240">
                  <c:v>104</c:v>
                </c:pt>
                <c:pt idx="241">
                  <c:v>131</c:v>
                </c:pt>
                <c:pt idx="242">
                  <c:v>130</c:v>
                </c:pt>
                <c:pt idx="243">
                  <c:v>138</c:v>
                </c:pt>
                <c:pt idx="244">
                  <c:v>167</c:v>
                </c:pt>
                <c:pt idx="245">
                  <c:v>170</c:v>
                </c:pt>
                <c:pt idx="246">
                  <c:v>165</c:v>
                </c:pt>
                <c:pt idx="247">
                  <c:v>149</c:v>
                </c:pt>
                <c:pt idx="248">
                  <c:v>151</c:v>
                </c:pt>
                <c:pt idx="249">
                  <c:v>173</c:v>
                </c:pt>
                <c:pt idx="250">
                  <c:v>150</c:v>
                </c:pt>
                <c:pt idx="251">
                  <c:v>162</c:v>
                </c:pt>
                <c:pt idx="252">
                  <c:v>175</c:v>
                </c:pt>
                <c:pt idx="253">
                  <c:v>176</c:v>
                </c:pt>
                <c:pt idx="254">
                  <c:v>180</c:v>
                </c:pt>
                <c:pt idx="255">
                  <c:v>168</c:v>
                </c:pt>
                <c:pt idx="256">
                  <c:v>185</c:v>
                </c:pt>
                <c:pt idx="257">
                  <c:v>181</c:v>
                </c:pt>
                <c:pt idx="258">
                  <c:v>172</c:v>
                </c:pt>
                <c:pt idx="259">
                  <c:v>187</c:v>
                </c:pt>
                <c:pt idx="260">
                  <c:v>218</c:v>
                </c:pt>
                <c:pt idx="261">
                  <c:v>184</c:v>
                </c:pt>
                <c:pt idx="262">
                  <c:v>194</c:v>
                </c:pt>
                <c:pt idx="263">
                  <c:v>131</c:v>
                </c:pt>
                <c:pt idx="264">
                  <c:v>176</c:v>
                </c:pt>
                <c:pt idx="265">
                  <c:v>136</c:v>
                </c:pt>
                <c:pt idx="266">
                  <c:v>153</c:v>
                </c:pt>
                <c:pt idx="267">
                  <c:v>159</c:v>
                </c:pt>
                <c:pt idx="268">
                  <c:v>143</c:v>
                </c:pt>
                <c:pt idx="269">
                  <c:v>156</c:v>
                </c:pt>
                <c:pt idx="270">
                  <c:v>151</c:v>
                </c:pt>
                <c:pt idx="271">
                  <c:v>148</c:v>
                </c:pt>
                <c:pt idx="272">
                  <c:v>184</c:v>
                </c:pt>
                <c:pt idx="273">
                  <c:v>204</c:v>
                </c:pt>
                <c:pt idx="274">
                  <c:v>215</c:v>
                </c:pt>
                <c:pt idx="275">
                  <c:v>198</c:v>
                </c:pt>
                <c:pt idx="276">
                  <c:v>199</c:v>
                </c:pt>
                <c:pt idx="277">
                  <c:v>188</c:v>
                </c:pt>
                <c:pt idx="278">
                  <c:v>197</c:v>
                </c:pt>
                <c:pt idx="279">
                  <c:v>192</c:v>
                </c:pt>
                <c:pt idx="280">
                  <c:v>200</c:v>
                </c:pt>
                <c:pt idx="281">
                  <c:v>192</c:v>
                </c:pt>
                <c:pt idx="282">
                  <c:v>172</c:v>
                </c:pt>
                <c:pt idx="283">
                  <c:v>160</c:v>
                </c:pt>
                <c:pt idx="284">
                  <c:v>168</c:v>
                </c:pt>
                <c:pt idx="285">
                  <c:v>171</c:v>
                </c:pt>
                <c:pt idx="286">
                  <c:v>154</c:v>
                </c:pt>
                <c:pt idx="287">
                  <c:v>146</c:v>
                </c:pt>
                <c:pt idx="288">
                  <c:v>166</c:v>
                </c:pt>
                <c:pt idx="289">
                  <c:v>134</c:v>
                </c:pt>
                <c:pt idx="290">
                  <c:v>149</c:v>
                </c:pt>
                <c:pt idx="291">
                  <c:v>132</c:v>
                </c:pt>
                <c:pt idx="292">
                  <c:v>131</c:v>
                </c:pt>
                <c:pt idx="293">
                  <c:v>104</c:v>
                </c:pt>
                <c:pt idx="294">
                  <c:v>105</c:v>
                </c:pt>
                <c:pt idx="295">
                  <c:v>105</c:v>
                </c:pt>
                <c:pt idx="296">
                  <c:v>90</c:v>
                </c:pt>
                <c:pt idx="297">
                  <c:v>101</c:v>
                </c:pt>
                <c:pt idx="298">
                  <c:v>92</c:v>
                </c:pt>
                <c:pt idx="299">
                  <c:v>68</c:v>
                </c:pt>
                <c:pt idx="300">
                  <c:v>75</c:v>
                </c:pt>
                <c:pt idx="301">
                  <c:v>73</c:v>
                </c:pt>
                <c:pt idx="30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4-49B1-9FEB-7ACE2A08D401}"/>
            </c:ext>
          </c:extLst>
        </c:ser>
        <c:ser>
          <c:idx val="1"/>
          <c:order val="1"/>
          <c:tx>
            <c:strRef>
              <c:f>'Результат запроса'!$AB$218</c:f>
              <c:strCache>
                <c:ptCount val="1"/>
                <c:pt idx="0">
                  <c:v>WAU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запроса'!$Z$219:$Z$521</c:f>
              <c:numCache>
                <c:formatCode>mm/yyyy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запроса'!$AB$219:$AB$521</c:f>
              <c:numCache>
                <c:formatCode>General</c:formatCode>
                <c:ptCount val="303"/>
                <c:pt idx="0">
                  <c:v>6</c:v>
                </c:pt>
                <c:pt idx="1">
                  <c:v>6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133</c:v>
                </c:pt>
                <c:pt idx="21">
                  <c:v>133</c:v>
                </c:pt>
                <c:pt idx="22">
                  <c:v>133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202</c:v>
                </c:pt>
                <c:pt idx="31">
                  <c:v>202</c:v>
                </c:pt>
                <c:pt idx="32">
                  <c:v>202</c:v>
                </c:pt>
                <c:pt idx="33">
                  <c:v>202</c:v>
                </c:pt>
                <c:pt idx="34">
                  <c:v>202</c:v>
                </c:pt>
                <c:pt idx="35">
                  <c:v>202</c:v>
                </c:pt>
                <c:pt idx="36">
                  <c:v>202</c:v>
                </c:pt>
                <c:pt idx="37">
                  <c:v>193</c:v>
                </c:pt>
                <c:pt idx="38">
                  <c:v>193</c:v>
                </c:pt>
                <c:pt idx="39">
                  <c:v>193</c:v>
                </c:pt>
                <c:pt idx="40">
                  <c:v>193</c:v>
                </c:pt>
                <c:pt idx="41">
                  <c:v>193</c:v>
                </c:pt>
                <c:pt idx="42">
                  <c:v>193</c:v>
                </c:pt>
                <c:pt idx="43">
                  <c:v>193</c:v>
                </c:pt>
                <c:pt idx="44">
                  <c:v>201</c:v>
                </c:pt>
                <c:pt idx="45">
                  <c:v>201</c:v>
                </c:pt>
                <c:pt idx="46">
                  <c:v>201</c:v>
                </c:pt>
                <c:pt idx="47">
                  <c:v>201</c:v>
                </c:pt>
                <c:pt idx="48">
                  <c:v>201</c:v>
                </c:pt>
                <c:pt idx="49">
                  <c:v>201</c:v>
                </c:pt>
                <c:pt idx="50">
                  <c:v>201</c:v>
                </c:pt>
                <c:pt idx="51">
                  <c:v>206</c:v>
                </c:pt>
                <c:pt idx="52">
                  <c:v>206</c:v>
                </c:pt>
                <c:pt idx="53">
                  <c:v>206</c:v>
                </c:pt>
                <c:pt idx="54">
                  <c:v>206</c:v>
                </c:pt>
                <c:pt idx="55">
                  <c:v>206</c:v>
                </c:pt>
                <c:pt idx="56">
                  <c:v>206</c:v>
                </c:pt>
                <c:pt idx="57">
                  <c:v>206</c:v>
                </c:pt>
                <c:pt idx="58">
                  <c:v>192</c:v>
                </c:pt>
                <c:pt idx="59">
                  <c:v>192</c:v>
                </c:pt>
                <c:pt idx="60">
                  <c:v>192</c:v>
                </c:pt>
                <c:pt idx="61">
                  <c:v>192</c:v>
                </c:pt>
                <c:pt idx="62">
                  <c:v>192</c:v>
                </c:pt>
                <c:pt idx="63">
                  <c:v>192</c:v>
                </c:pt>
                <c:pt idx="64">
                  <c:v>192</c:v>
                </c:pt>
                <c:pt idx="65">
                  <c:v>196</c:v>
                </c:pt>
                <c:pt idx="66">
                  <c:v>196</c:v>
                </c:pt>
                <c:pt idx="67">
                  <c:v>196</c:v>
                </c:pt>
                <c:pt idx="68">
                  <c:v>196</c:v>
                </c:pt>
                <c:pt idx="69">
                  <c:v>196</c:v>
                </c:pt>
                <c:pt idx="70">
                  <c:v>196</c:v>
                </c:pt>
                <c:pt idx="71">
                  <c:v>196</c:v>
                </c:pt>
                <c:pt idx="72">
                  <c:v>205</c:v>
                </c:pt>
                <c:pt idx="73">
                  <c:v>205</c:v>
                </c:pt>
                <c:pt idx="74">
                  <c:v>205</c:v>
                </c:pt>
                <c:pt idx="75">
                  <c:v>205</c:v>
                </c:pt>
                <c:pt idx="76">
                  <c:v>205</c:v>
                </c:pt>
                <c:pt idx="77">
                  <c:v>205</c:v>
                </c:pt>
                <c:pt idx="78">
                  <c:v>205</c:v>
                </c:pt>
                <c:pt idx="79">
                  <c:v>213</c:v>
                </c:pt>
                <c:pt idx="80">
                  <c:v>213</c:v>
                </c:pt>
                <c:pt idx="81">
                  <c:v>213</c:v>
                </c:pt>
                <c:pt idx="82">
                  <c:v>213</c:v>
                </c:pt>
                <c:pt idx="83">
                  <c:v>213</c:v>
                </c:pt>
                <c:pt idx="84">
                  <c:v>213</c:v>
                </c:pt>
                <c:pt idx="85">
                  <c:v>213</c:v>
                </c:pt>
                <c:pt idx="86">
                  <c:v>208</c:v>
                </c:pt>
                <c:pt idx="87">
                  <c:v>208</c:v>
                </c:pt>
                <c:pt idx="88">
                  <c:v>208</c:v>
                </c:pt>
                <c:pt idx="89">
                  <c:v>208</c:v>
                </c:pt>
                <c:pt idx="90">
                  <c:v>208</c:v>
                </c:pt>
                <c:pt idx="91">
                  <c:v>208</c:v>
                </c:pt>
                <c:pt idx="92">
                  <c:v>208</c:v>
                </c:pt>
                <c:pt idx="93">
                  <c:v>207</c:v>
                </c:pt>
                <c:pt idx="94">
                  <c:v>207</c:v>
                </c:pt>
                <c:pt idx="95">
                  <c:v>207</c:v>
                </c:pt>
                <c:pt idx="96">
                  <c:v>207</c:v>
                </c:pt>
                <c:pt idx="97">
                  <c:v>207</c:v>
                </c:pt>
                <c:pt idx="98">
                  <c:v>207</c:v>
                </c:pt>
                <c:pt idx="99">
                  <c:v>207</c:v>
                </c:pt>
                <c:pt idx="100">
                  <c:v>204</c:v>
                </c:pt>
                <c:pt idx="101">
                  <c:v>204</c:v>
                </c:pt>
                <c:pt idx="102">
                  <c:v>204</c:v>
                </c:pt>
                <c:pt idx="103">
                  <c:v>204</c:v>
                </c:pt>
                <c:pt idx="104">
                  <c:v>204</c:v>
                </c:pt>
                <c:pt idx="105">
                  <c:v>204</c:v>
                </c:pt>
                <c:pt idx="106">
                  <c:v>204</c:v>
                </c:pt>
                <c:pt idx="107">
                  <c:v>201</c:v>
                </c:pt>
                <c:pt idx="108">
                  <c:v>201</c:v>
                </c:pt>
                <c:pt idx="109">
                  <c:v>201</c:v>
                </c:pt>
                <c:pt idx="110">
                  <c:v>201</c:v>
                </c:pt>
                <c:pt idx="111">
                  <c:v>201</c:v>
                </c:pt>
                <c:pt idx="112">
                  <c:v>201</c:v>
                </c:pt>
                <c:pt idx="113">
                  <c:v>201</c:v>
                </c:pt>
                <c:pt idx="114">
                  <c:v>213</c:v>
                </c:pt>
                <c:pt idx="115">
                  <c:v>213</c:v>
                </c:pt>
                <c:pt idx="116">
                  <c:v>213</c:v>
                </c:pt>
                <c:pt idx="117">
                  <c:v>213</c:v>
                </c:pt>
                <c:pt idx="118">
                  <c:v>213</c:v>
                </c:pt>
                <c:pt idx="119">
                  <c:v>213</c:v>
                </c:pt>
                <c:pt idx="120">
                  <c:v>213</c:v>
                </c:pt>
                <c:pt idx="121">
                  <c:v>214</c:v>
                </c:pt>
                <c:pt idx="122">
                  <c:v>214</c:v>
                </c:pt>
                <c:pt idx="123">
                  <c:v>214</c:v>
                </c:pt>
                <c:pt idx="124">
                  <c:v>214</c:v>
                </c:pt>
                <c:pt idx="125">
                  <c:v>214</c:v>
                </c:pt>
                <c:pt idx="126">
                  <c:v>214</c:v>
                </c:pt>
                <c:pt idx="127">
                  <c:v>214</c:v>
                </c:pt>
                <c:pt idx="128">
                  <c:v>203</c:v>
                </c:pt>
                <c:pt idx="129">
                  <c:v>203</c:v>
                </c:pt>
                <c:pt idx="130">
                  <c:v>203</c:v>
                </c:pt>
                <c:pt idx="131">
                  <c:v>203</c:v>
                </c:pt>
                <c:pt idx="132">
                  <c:v>203</c:v>
                </c:pt>
                <c:pt idx="133">
                  <c:v>203</c:v>
                </c:pt>
                <c:pt idx="134">
                  <c:v>203</c:v>
                </c:pt>
                <c:pt idx="135">
                  <c:v>202</c:v>
                </c:pt>
                <c:pt idx="136">
                  <c:v>202</c:v>
                </c:pt>
                <c:pt idx="137">
                  <c:v>202</c:v>
                </c:pt>
                <c:pt idx="138">
                  <c:v>202</c:v>
                </c:pt>
                <c:pt idx="139">
                  <c:v>202</c:v>
                </c:pt>
                <c:pt idx="140">
                  <c:v>202</c:v>
                </c:pt>
                <c:pt idx="141">
                  <c:v>202</c:v>
                </c:pt>
                <c:pt idx="142">
                  <c:v>167</c:v>
                </c:pt>
                <c:pt idx="143">
                  <c:v>167</c:v>
                </c:pt>
                <c:pt idx="144">
                  <c:v>167</c:v>
                </c:pt>
                <c:pt idx="145">
                  <c:v>167</c:v>
                </c:pt>
                <c:pt idx="146">
                  <c:v>167</c:v>
                </c:pt>
                <c:pt idx="147">
                  <c:v>167</c:v>
                </c:pt>
                <c:pt idx="148">
                  <c:v>167</c:v>
                </c:pt>
                <c:pt idx="149">
                  <c:v>157</c:v>
                </c:pt>
                <c:pt idx="150">
                  <c:v>157</c:v>
                </c:pt>
                <c:pt idx="151">
                  <c:v>157</c:v>
                </c:pt>
                <c:pt idx="152">
                  <c:v>157</c:v>
                </c:pt>
                <c:pt idx="153">
                  <c:v>157</c:v>
                </c:pt>
                <c:pt idx="154">
                  <c:v>157</c:v>
                </c:pt>
                <c:pt idx="155">
                  <c:v>157</c:v>
                </c:pt>
                <c:pt idx="156">
                  <c:v>156</c:v>
                </c:pt>
                <c:pt idx="157">
                  <c:v>156</c:v>
                </c:pt>
                <c:pt idx="158">
                  <c:v>156</c:v>
                </c:pt>
                <c:pt idx="159">
                  <c:v>156</c:v>
                </c:pt>
                <c:pt idx="160">
                  <c:v>156</c:v>
                </c:pt>
                <c:pt idx="161">
                  <c:v>156</c:v>
                </c:pt>
                <c:pt idx="162">
                  <c:v>156</c:v>
                </c:pt>
                <c:pt idx="163">
                  <c:v>153</c:v>
                </c:pt>
                <c:pt idx="164">
                  <c:v>153</c:v>
                </c:pt>
                <c:pt idx="165">
                  <c:v>153</c:v>
                </c:pt>
                <c:pt idx="166">
                  <c:v>153</c:v>
                </c:pt>
                <c:pt idx="167">
                  <c:v>153</c:v>
                </c:pt>
                <c:pt idx="168">
                  <c:v>153</c:v>
                </c:pt>
                <c:pt idx="169">
                  <c:v>153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145</c:v>
                </c:pt>
                <c:pt idx="174">
                  <c:v>145</c:v>
                </c:pt>
                <c:pt idx="175">
                  <c:v>145</c:v>
                </c:pt>
                <c:pt idx="176">
                  <c:v>145</c:v>
                </c:pt>
                <c:pt idx="177">
                  <c:v>141</c:v>
                </c:pt>
                <c:pt idx="178">
                  <c:v>141</c:v>
                </c:pt>
                <c:pt idx="179">
                  <c:v>141</c:v>
                </c:pt>
                <c:pt idx="180">
                  <c:v>141</c:v>
                </c:pt>
                <c:pt idx="181">
                  <c:v>141</c:v>
                </c:pt>
                <c:pt idx="182">
                  <c:v>141</c:v>
                </c:pt>
                <c:pt idx="183">
                  <c:v>141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233</c:v>
                </c:pt>
                <c:pt idx="192">
                  <c:v>233</c:v>
                </c:pt>
                <c:pt idx="193">
                  <c:v>233</c:v>
                </c:pt>
                <c:pt idx="194">
                  <c:v>233</c:v>
                </c:pt>
                <c:pt idx="195">
                  <c:v>233</c:v>
                </c:pt>
                <c:pt idx="196">
                  <c:v>233</c:v>
                </c:pt>
                <c:pt idx="197">
                  <c:v>233</c:v>
                </c:pt>
                <c:pt idx="198">
                  <c:v>272</c:v>
                </c:pt>
                <c:pt idx="199">
                  <c:v>272</c:v>
                </c:pt>
                <c:pt idx="200">
                  <c:v>272</c:v>
                </c:pt>
                <c:pt idx="201">
                  <c:v>272</c:v>
                </c:pt>
                <c:pt idx="202">
                  <c:v>272</c:v>
                </c:pt>
                <c:pt idx="203">
                  <c:v>272</c:v>
                </c:pt>
                <c:pt idx="204">
                  <c:v>272</c:v>
                </c:pt>
                <c:pt idx="205">
                  <c:v>295</c:v>
                </c:pt>
                <c:pt idx="206">
                  <c:v>295</c:v>
                </c:pt>
                <c:pt idx="207">
                  <c:v>295</c:v>
                </c:pt>
                <c:pt idx="208">
                  <c:v>295</c:v>
                </c:pt>
                <c:pt idx="209">
                  <c:v>295</c:v>
                </c:pt>
                <c:pt idx="210">
                  <c:v>295</c:v>
                </c:pt>
                <c:pt idx="211">
                  <c:v>295</c:v>
                </c:pt>
                <c:pt idx="212">
                  <c:v>346</c:v>
                </c:pt>
                <c:pt idx="213">
                  <c:v>346</c:v>
                </c:pt>
                <c:pt idx="214">
                  <c:v>346</c:v>
                </c:pt>
                <c:pt idx="215">
                  <c:v>346</c:v>
                </c:pt>
                <c:pt idx="216">
                  <c:v>346</c:v>
                </c:pt>
                <c:pt idx="217">
                  <c:v>346</c:v>
                </c:pt>
                <c:pt idx="218">
                  <c:v>346</c:v>
                </c:pt>
                <c:pt idx="219">
                  <c:v>340</c:v>
                </c:pt>
                <c:pt idx="220">
                  <c:v>340</c:v>
                </c:pt>
                <c:pt idx="221">
                  <c:v>340</c:v>
                </c:pt>
                <c:pt idx="222">
                  <c:v>340</c:v>
                </c:pt>
                <c:pt idx="223">
                  <c:v>340</c:v>
                </c:pt>
                <c:pt idx="224">
                  <c:v>340</c:v>
                </c:pt>
                <c:pt idx="225">
                  <c:v>340</c:v>
                </c:pt>
                <c:pt idx="226">
                  <c:v>347</c:v>
                </c:pt>
                <c:pt idx="227">
                  <c:v>347</c:v>
                </c:pt>
                <c:pt idx="228">
                  <c:v>347</c:v>
                </c:pt>
                <c:pt idx="229">
                  <c:v>347</c:v>
                </c:pt>
                <c:pt idx="230">
                  <c:v>347</c:v>
                </c:pt>
                <c:pt idx="231">
                  <c:v>347</c:v>
                </c:pt>
                <c:pt idx="232">
                  <c:v>347</c:v>
                </c:pt>
                <c:pt idx="233">
                  <c:v>384</c:v>
                </c:pt>
                <c:pt idx="234">
                  <c:v>384</c:v>
                </c:pt>
                <c:pt idx="235">
                  <c:v>384</c:v>
                </c:pt>
                <c:pt idx="236">
                  <c:v>384</c:v>
                </c:pt>
                <c:pt idx="237">
                  <c:v>384</c:v>
                </c:pt>
                <c:pt idx="238">
                  <c:v>384</c:v>
                </c:pt>
                <c:pt idx="239">
                  <c:v>384</c:v>
                </c:pt>
                <c:pt idx="240">
                  <c:v>611</c:v>
                </c:pt>
                <c:pt idx="241">
                  <c:v>611</c:v>
                </c:pt>
                <c:pt idx="242">
                  <c:v>611</c:v>
                </c:pt>
                <c:pt idx="243">
                  <c:v>611</c:v>
                </c:pt>
                <c:pt idx="244">
                  <c:v>611</c:v>
                </c:pt>
                <c:pt idx="245">
                  <c:v>611</c:v>
                </c:pt>
                <c:pt idx="246">
                  <c:v>611</c:v>
                </c:pt>
                <c:pt idx="247">
                  <c:v>712</c:v>
                </c:pt>
                <c:pt idx="248">
                  <c:v>712</c:v>
                </c:pt>
                <c:pt idx="249">
                  <c:v>712</c:v>
                </c:pt>
                <c:pt idx="250">
                  <c:v>712</c:v>
                </c:pt>
                <c:pt idx="251">
                  <c:v>712</c:v>
                </c:pt>
                <c:pt idx="252">
                  <c:v>712</c:v>
                </c:pt>
                <c:pt idx="253">
                  <c:v>712</c:v>
                </c:pt>
                <c:pt idx="254">
                  <c:v>772</c:v>
                </c:pt>
                <c:pt idx="255">
                  <c:v>772</c:v>
                </c:pt>
                <c:pt idx="256">
                  <c:v>772</c:v>
                </c:pt>
                <c:pt idx="257">
                  <c:v>772</c:v>
                </c:pt>
                <c:pt idx="258">
                  <c:v>772</c:v>
                </c:pt>
                <c:pt idx="259">
                  <c:v>772</c:v>
                </c:pt>
                <c:pt idx="260">
                  <c:v>772</c:v>
                </c:pt>
                <c:pt idx="261">
                  <c:v>656</c:v>
                </c:pt>
                <c:pt idx="262">
                  <c:v>656</c:v>
                </c:pt>
                <c:pt idx="263">
                  <c:v>656</c:v>
                </c:pt>
                <c:pt idx="264">
                  <c:v>656</c:v>
                </c:pt>
                <c:pt idx="265">
                  <c:v>656</c:v>
                </c:pt>
                <c:pt idx="266">
                  <c:v>656</c:v>
                </c:pt>
                <c:pt idx="267">
                  <c:v>656</c:v>
                </c:pt>
                <c:pt idx="268">
                  <c:v>661</c:v>
                </c:pt>
                <c:pt idx="269">
                  <c:v>661</c:v>
                </c:pt>
                <c:pt idx="270">
                  <c:v>661</c:v>
                </c:pt>
                <c:pt idx="271">
                  <c:v>661</c:v>
                </c:pt>
                <c:pt idx="272">
                  <c:v>661</c:v>
                </c:pt>
                <c:pt idx="273">
                  <c:v>661</c:v>
                </c:pt>
                <c:pt idx="274">
                  <c:v>661</c:v>
                </c:pt>
                <c:pt idx="275">
                  <c:v>699</c:v>
                </c:pt>
                <c:pt idx="276">
                  <c:v>699</c:v>
                </c:pt>
                <c:pt idx="277">
                  <c:v>699</c:v>
                </c:pt>
                <c:pt idx="278">
                  <c:v>699</c:v>
                </c:pt>
                <c:pt idx="279">
                  <c:v>699</c:v>
                </c:pt>
                <c:pt idx="280">
                  <c:v>699</c:v>
                </c:pt>
                <c:pt idx="281">
                  <c:v>699</c:v>
                </c:pt>
                <c:pt idx="282">
                  <c:v>614</c:v>
                </c:pt>
                <c:pt idx="283">
                  <c:v>614</c:v>
                </c:pt>
                <c:pt idx="284">
                  <c:v>614</c:v>
                </c:pt>
                <c:pt idx="285">
                  <c:v>614</c:v>
                </c:pt>
                <c:pt idx="286">
                  <c:v>614</c:v>
                </c:pt>
                <c:pt idx="287">
                  <c:v>614</c:v>
                </c:pt>
                <c:pt idx="288">
                  <c:v>614</c:v>
                </c:pt>
                <c:pt idx="289">
                  <c:v>545</c:v>
                </c:pt>
                <c:pt idx="290">
                  <c:v>545</c:v>
                </c:pt>
                <c:pt idx="291">
                  <c:v>545</c:v>
                </c:pt>
                <c:pt idx="292">
                  <c:v>545</c:v>
                </c:pt>
                <c:pt idx="293">
                  <c:v>545</c:v>
                </c:pt>
                <c:pt idx="294">
                  <c:v>545</c:v>
                </c:pt>
                <c:pt idx="295">
                  <c:v>545</c:v>
                </c:pt>
                <c:pt idx="296">
                  <c:v>422</c:v>
                </c:pt>
                <c:pt idx="297">
                  <c:v>422</c:v>
                </c:pt>
                <c:pt idx="298">
                  <c:v>422</c:v>
                </c:pt>
                <c:pt idx="299">
                  <c:v>422</c:v>
                </c:pt>
                <c:pt idx="300">
                  <c:v>422</c:v>
                </c:pt>
                <c:pt idx="301">
                  <c:v>422</c:v>
                </c:pt>
                <c:pt idx="302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F4-49B1-9FEB-7ACE2A08D401}"/>
            </c:ext>
          </c:extLst>
        </c:ser>
        <c:ser>
          <c:idx val="2"/>
          <c:order val="2"/>
          <c:tx>
            <c:strRef>
              <c:f>'Результат запроса'!$AC$218</c:f>
              <c:strCache>
                <c:ptCount val="1"/>
                <c:pt idx="0">
                  <c:v>MAU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47"/>
              <c:layout>
                <c:manualLayout>
                  <c:x val="-1.0920299427564948E-3"/>
                  <c:y val="-4.40071085952480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F4-49B1-9FEB-7ACE2A08D4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запроса'!$Z$219:$Z$521</c:f>
              <c:numCache>
                <c:formatCode>mm/yyyy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запроса'!$AC$219:$AC$521</c:f>
              <c:numCache>
                <c:formatCode>General</c:formatCode>
                <c:ptCount val="303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193</c:v>
                </c:pt>
                <c:pt idx="5">
                  <c:v>193</c:v>
                </c:pt>
                <c:pt idx="6">
                  <c:v>193</c:v>
                </c:pt>
                <c:pt idx="7">
                  <c:v>193</c:v>
                </c:pt>
                <c:pt idx="8">
                  <c:v>193</c:v>
                </c:pt>
                <c:pt idx="9">
                  <c:v>193</c:v>
                </c:pt>
                <c:pt idx="10">
                  <c:v>193</c:v>
                </c:pt>
                <c:pt idx="11">
                  <c:v>193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193</c:v>
                </c:pt>
                <c:pt idx="19">
                  <c:v>193</c:v>
                </c:pt>
                <c:pt idx="20">
                  <c:v>193</c:v>
                </c:pt>
                <c:pt idx="21">
                  <c:v>193</c:v>
                </c:pt>
                <c:pt idx="22">
                  <c:v>193</c:v>
                </c:pt>
                <c:pt idx="23">
                  <c:v>193</c:v>
                </c:pt>
                <c:pt idx="24">
                  <c:v>193</c:v>
                </c:pt>
                <c:pt idx="25">
                  <c:v>193</c:v>
                </c:pt>
                <c:pt idx="26">
                  <c:v>193</c:v>
                </c:pt>
                <c:pt idx="27">
                  <c:v>193</c:v>
                </c:pt>
                <c:pt idx="28">
                  <c:v>193</c:v>
                </c:pt>
                <c:pt idx="29">
                  <c:v>193</c:v>
                </c:pt>
                <c:pt idx="30">
                  <c:v>366</c:v>
                </c:pt>
                <c:pt idx="31">
                  <c:v>366</c:v>
                </c:pt>
                <c:pt idx="32">
                  <c:v>366</c:v>
                </c:pt>
                <c:pt idx="33">
                  <c:v>366</c:v>
                </c:pt>
                <c:pt idx="34">
                  <c:v>366</c:v>
                </c:pt>
                <c:pt idx="35">
                  <c:v>366</c:v>
                </c:pt>
                <c:pt idx="36">
                  <c:v>366</c:v>
                </c:pt>
                <c:pt idx="37">
                  <c:v>366</c:v>
                </c:pt>
                <c:pt idx="38">
                  <c:v>366</c:v>
                </c:pt>
                <c:pt idx="39">
                  <c:v>366</c:v>
                </c:pt>
                <c:pt idx="40">
                  <c:v>366</c:v>
                </c:pt>
                <c:pt idx="41">
                  <c:v>366</c:v>
                </c:pt>
                <c:pt idx="42">
                  <c:v>366</c:v>
                </c:pt>
                <c:pt idx="43">
                  <c:v>366</c:v>
                </c:pt>
                <c:pt idx="44">
                  <c:v>366</c:v>
                </c:pt>
                <c:pt idx="45">
                  <c:v>366</c:v>
                </c:pt>
                <c:pt idx="46">
                  <c:v>366</c:v>
                </c:pt>
                <c:pt idx="47">
                  <c:v>366</c:v>
                </c:pt>
                <c:pt idx="48">
                  <c:v>366</c:v>
                </c:pt>
                <c:pt idx="49">
                  <c:v>366</c:v>
                </c:pt>
                <c:pt idx="50">
                  <c:v>366</c:v>
                </c:pt>
                <c:pt idx="51">
                  <c:v>366</c:v>
                </c:pt>
                <c:pt idx="52">
                  <c:v>366</c:v>
                </c:pt>
                <c:pt idx="53">
                  <c:v>366</c:v>
                </c:pt>
                <c:pt idx="54">
                  <c:v>366</c:v>
                </c:pt>
                <c:pt idx="55">
                  <c:v>366</c:v>
                </c:pt>
                <c:pt idx="56">
                  <c:v>366</c:v>
                </c:pt>
                <c:pt idx="57">
                  <c:v>366</c:v>
                </c:pt>
                <c:pt idx="58">
                  <c:v>366</c:v>
                </c:pt>
                <c:pt idx="59">
                  <c:v>366</c:v>
                </c:pt>
                <c:pt idx="60">
                  <c:v>366</c:v>
                </c:pt>
                <c:pt idx="61">
                  <c:v>378</c:v>
                </c:pt>
                <c:pt idx="62">
                  <c:v>378</c:v>
                </c:pt>
                <c:pt idx="63">
                  <c:v>378</c:v>
                </c:pt>
                <c:pt idx="64">
                  <c:v>378</c:v>
                </c:pt>
                <c:pt idx="65">
                  <c:v>378</c:v>
                </c:pt>
                <c:pt idx="66">
                  <c:v>378</c:v>
                </c:pt>
                <c:pt idx="67">
                  <c:v>378</c:v>
                </c:pt>
                <c:pt idx="68">
                  <c:v>378</c:v>
                </c:pt>
                <c:pt idx="69">
                  <c:v>378</c:v>
                </c:pt>
                <c:pt idx="70">
                  <c:v>378</c:v>
                </c:pt>
                <c:pt idx="71">
                  <c:v>378</c:v>
                </c:pt>
                <c:pt idx="72">
                  <c:v>378</c:v>
                </c:pt>
                <c:pt idx="73">
                  <c:v>378</c:v>
                </c:pt>
                <c:pt idx="74">
                  <c:v>378</c:v>
                </c:pt>
                <c:pt idx="75">
                  <c:v>378</c:v>
                </c:pt>
                <c:pt idx="76">
                  <c:v>378</c:v>
                </c:pt>
                <c:pt idx="77">
                  <c:v>378</c:v>
                </c:pt>
                <c:pt idx="78">
                  <c:v>378</c:v>
                </c:pt>
                <c:pt idx="79">
                  <c:v>378</c:v>
                </c:pt>
                <c:pt idx="80">
                  <c:v>378</c:v>
                </c:pt>
                <c:pt idx="81">
                  <c:v>378</c:v>
                </c:pt>
                <c:pt idx="82">
                  <c:v>378</c:v>
                </c:pt>
                <c:pt idx="83">
                  <c:v>378</c:v>
                </c:pt>
                <c:pt idx="84">
                  <c:v>378</c:v>
                </c:pt>
                <c:pt idx="85">
                  <c:v>378</c:v>
                </c:pt>
                <c:pt idx="86">
                  <c:v>378</c:v>
                </c:pt>
                <c:pt idx="87">
                  <c:v>378</c:v>
                </c:pt>
                <c:pt idx="88">
                  <c:v>378</c:v>
                </c:pt>
                <c:pt idx="89">
                  <c:v>378</c:v>
                </c:pt>
                <c:pt idx="90">
                  <c:v>378</c:v>
                </c:pt>
                <c:pt idx="91">
                  <c:v>393</c:v>
                </c:pt>
                <c:pt idx="92">
                  <c:v>393</c:v>
                </c:pt>
                <c:pt idx="93">
                  <c:v>393</c:v>
                </c:pt>
                <c:pt idx="94">
                  <c:v>393</c:v>
                </c:pt>
                <c:pt idx="95">
                  <c:v>393</c:v>
                </c:pt>
                <c:pt idx="96">
                  <c:v>393</c:v>
                </c:pt>
                <c:pt idx="97">
                  <c:v>393</c:v>
                </c:pt>
                <c:pt idx="98">
                  <c:v>393</c:v>
                </c:pt>
                <c:pt idx="99">
                  <c:v>393</c:v>
                </c:pt>
                <c:pt idx="100">
                  <c:v>393</c:v>
                </c:pt>
                <c:pt idx="101">
                  <c:v>393</c:v>
                </c:pt>
                <c:pt idx="102">
                  <c:v>393</c:v>
                </c:pt>
                <c:pt idx="103">
                  <c:v>393</c:v>
                </c:pt>
                <c:pt idx="104">
                  <c:v>393</c:v>
                </c:pt>
                <c:pt idx="105">
                  <c:v>393</c:v>
                </c:pt>
                <c:pt idx="106">
                  <c:v>393</c:v>
                </c:pt>
                <c:pt idx="107">
                  <c:v>393</c:v>
                </c:pt>
                <c:pt idx="108">
                  <c:v>393</c:v>
                </c:pt>
                <c:pt idx="109">
                  <c:v>393</c:v>
                </c:pt>
                <c:pt idx="110">
                  <c:v>393</c:v>
                </c:pt>
                <c:pt idx="111">
                  <c:v>393</c:v>
                </c:pt>
                <c:pt idx="112">
                  <c:v>393</c:v>
                </c:pt>
                <c:pt idx="113">
                  <c:v>393</c:v>
                </c:pt>
                <c:pt idx="114">
                  <c:v>393</c:v>
                </c:pt>
                <c:pt idx="115">
                  <c:v>393</c:v>
                </c:pt>
                <c:pt idx="116">
                  <c:v>393</c:v>
                </c:pt>
                <c:pt idx="117">
                  <c:v>393</c:v>
                </c:pt>
                <c:pt idx="118">
                  <c:v>393</c:v>
                </c:pt>
                <c:pt idx="119">
                  <c:v>393</c:v>
                </c:pt>
                <c:pt idx="120">
                  <c:v>393</c:v>
                </c:pt>
                <c:pt idx="121">
                  <c:v>393</c:v>
                </c:pt>
                <c:pt idx="122">
                  <c:v>426</c:v>
                </c:pt>
                <c:pt idx="123">
                  <c:v>426</c:v>
                </c:pt>
                <c:pt idx="124">
                  <c:v>426</c:v>
                </c:pt>
                <c:pt idx="125">
                  <c:v>426</c:v>
                </c:pt>
                <c:pt idx="126">
                  <c:v>426</c:v>
                </c:pt>
                <c:pt idx="127">
                  <c:v>426</c:v>
                </c:pt>
                <c:pt idx="128">
                  <c:v>426</c:v>
                </c:pt>
                <c:pt idx="129">
                  <c:v>426</c:v>
                </c:pt>
                <c:pt idx="130">
                  <c:v>426</c:v>
                </c:pt>
                <c:pt idx="131">
                  <c:v>426</c:v>
                </c:pt>
                <c:pt idx="132">
                  <c:v>426</c:v>
                </c:pt>
                <c:pt idx="133">
                  <c:v>426</c:v>
                </c:pt>
                <c:pt idx="134">
                  <c:v>426</c:v>
                </c:pt>
                <c:pt idx="135">
                  <c:v>426</c:v>
                </c:pt>
                <c:pt idx="136">
                  <c:v>426</c:v>
                </c:pt>
                <c:pt idx="137">
                  <c:v>426</c:v>
                </c:pt>
                <c:pt idx="138">
                  <c:v>426</c:v>
                </c:pt>
                <c:pt idx="139">
                  <c:v>426</c:v>
                </c:pt>
                <c:pt idx="140">
                  <c:v>426</c:v>
                </c:pt>
                <c:pt idx="141">
                  <c:v>426</c:v>
                </c:pt>
                <c:pt idx="142">
                  <c:v>426</c:v>
                </c:pt>
                <c:pt idx="143">
                  <c:v>426</c:v>
                </c:pt>
                <c:pt idx="144">
                  <c:v>426</c:v>
                </c:pt>
                <c:pt idx="145">
                  <c:v>426</c:v>
                </c:pt>
                <c:pt idx="146">
                  <c:v>426</c:v>
                </c:pt>
                <c:pt idx="147">
                  <c:v>426</c:v>
                </c:pt>
                <c:pt idx="148">
                  <c:v>426</c:v>
                </c:pt>
                <c:pt idx="149">
                  <c:v>426</c:v>
                </c:pt>
                <c:pt idx="150">
                  <c:v>426</c:v>
                </c:pt>
                <c:pt idx="151">
                  <c:v>426</c:v>
                </c:pt>
                <c:pt idx="152">
                  <c:v>390</c:v>
                </c:pt>
                <c:pt idx="153">
                  <c:v>390</c:v>
                </c:pt>
                <c:pt idx="154">
                  <c:v>390</c:v>
                </c:pt>
                <c:pt idx="155">
                  <c:v>390</c:v>
                </c:pt>
                <c:pt idx="156">
                  <c:v>390</c:v>
                </c:pt>
                <c:pt idx="157">
                  <c:v>390</c:v>
                </c:pt>
                <c:pt idx="158">
                  <c:v>390</c:v>
                </c:pt>
                <c:pt idx="159">
                  <c:v>390</c:v>
                </c:pt>
                <c:pt idx="160">
                  <c:v>390</c:v>
                </c:pt>
                <c:pt idx="161">
                  <c:v>390</c:v>
                </c:pt>
                <c:pt idx="162">
                  <c:v>390</c:v>
                </c:pt>
                <c:pt idx="163">
                  <c:v>390</c:v>
                </c:pt>
                <c:pt idx="164">
                  <c:v>390</c:v>
                </c:pt>
                <c:pt idx="165">
                  <c:v>390</c:v>
                </c:pt>
                <c:pt idx="166">
                  <c:v>390</c:v>
                </c:pt>
                <c:pt idx="167">
                  <c:v>390</c:v>
                </c:pt>
                <c:pt idx="168">
                  <c:v>390</c:v>
                </c:pt>
                <c:pt idx="169">
                  <c:v>390</c:v>
                </c:pt>
                <c:pt idx="170">
                  <c:v>390</c:v>
                </c:pt>
                <c:pt idx="171">
                  <c:v>390</c:v>
                </c:pt>
                <c:pt idx="172">
                  <c:v>390</c:v>
                </c:pt>
                <c:pt idx="173">
                  <c:v>390</c:v>
                </c:pt>
                <c:pt idx="174">
                  <c:v>390</c:v>
                </c:pt>
                <c:pt idx="175">
                  <c:v>390</c:v>
                </c:pt>
                <c:pt idx="176">
                  <c:v>390</c:v>
                </c:pt>
                <c:pt idx="177">
                  <c:v>390</c:v>
                </c:pt>
                <c:pt idx="178">
                  <c:v>390</c:v>
                </c:pt>
                <c:pt idx="179">
                  <c:v>390</c:v>
                </c:pt>
                <c:pt idx="180">
                  <c:v>390</c:v>
                </c:pt>
                <c:pt idx="181">
                  <c:v>390</c:v>
                </c:pt>
                <c:pt idx="182">
                  <c:v>390</c:v>
                </c:pt>
                <c:pt idx="183">
                  <c:v>536</c:v>
                </c:pt>
                <c:pt idx="184">
                  <c:v>536</c:v>
                </c:pt>
                <c:pt idx="185">
                  <c:v>536</c:v>
                </c:pt>
                <c:pt idx="186">
                  <c:v>536</c:v>
                </c:pt>
                <c:pt idx="187">
                  <c:v>536</c:v>
                </c:pt>
                <c:pt idx="188">
                  <c:v>536</c:v>
                </c:pt>
                <c:pt idx="189">
                  <c:v>536</c:v>
                </c:pt>
                <c:pt idx="190">
                  <c:v>536</c:v>
                </c:pt>
                <c:pt idx="191">
                  <c:v>536</c:v>
                </c:pt>
                <c:pt idx="192">
                  <c:v>536</c:v>
                </c:pt>
                <c:pt idx="193">
                  <c:v>536</c:v>
                </c:pt>
                <c:pt idx="194">
                  <c:v>536</c:v>
                </c:pt>
                <c:pt idx="195">
                  <c:v>536</c:v>
                </c:pt>
                <c:pt idx="196">
                  <c:v>536</c:v>
                </c:pt>
                <c:pt idx="197">
                  <c:v>536</c:v>
                </c:pt>
                <c:pt idx="198">
                  <c:v>536</c:v>
                </c:pt>
                <c:pt idx="199">
                  <c:v>536</c:v>
                </c:pt>
                <c:pt idx="200">
                  <c:v>536</c:v>
                </c:pt>
                <c:pt idx="201">
                  <c:v>536</c:v>
                </c:pt>
                <c:pt idx="202">
                  <c:v>536</c:v>
                </c:pt>
                <c:pt idx="203">
                  <c:v>536</c:v>
                </c:pt>
                <c:pt idx="204">
                  <c:v>536</c:v>
                </c:pt>
                <c:pt idx="205">
                  <c:v>536</c:v>
                </c:pt>
                <c:pt idx="206">
                  <c:v>536</c:v>
                </c:pt>
                <c:pt idx="207">
                  <c:v>536</c:v>
                </c:pt>
                <c:pt idx="208">
                  <c:v>536</c:v>
                </c:pt>
                <c:pt idx="209">
                  <c:v>536</c:v>
                </c:pt>
                <c:pt idx="210">
                  <c:v>536</c:v>
                </c:pt>
                <c:pt idx="211">
                  <c:v>536</c:v>
                </c:pt>
                <c:pt idx="212">
                  <c:v>536</c:v>
                </c:pt>
                <c:pt idx="213">
                  <c:v>536</c:v>
                </c:pt>
                <c:pt idx="214">
                  <c:v>696</c:v>
                </c:pt>
                <c:pt idx="215">
                  <c:v>696</c:v>
                </c:pt>
                <c:pt idx="216">
                  <c:v>696</c:v>
                </c:pt>
                <c:pt idx="217">
                  <c:v>696</c:v>
                </c:pt>
                <c:pt idx="218">
                  <c:v>696</c:v>
                </c:pt>
                <c:pt idx="219">
                  <c:v>696</c:v>
                </c:pt>
                <c:pt idx="220">
                  <c:v>696</c:v>
                </c:pt>
                <c:pt idx="221">
                  <c:v>696</c:v>
                </c:pt>
                <c:pt idx="222">
                  <c:v>696</c:v>
                </c:pt>
                <c:pt idx="223">
                  <c:v>696</c:v>
                </c:pt>
                <c:pt idx="224">
                  <c:v>696</c:v>
                </c:pt>
                <c:pt idx="225">
                  <c:v>696</c:v>
                </c:pt>
                <c:pt idx="226">
                  <c:v>696</c:v>
                </c:pt>
                <c:pt idx="227">
                  <c:v>696</c:v>
                </c:pt>
                <c:pt idx="228">
                  <c:v>696</c:v>
                </c:pt>
                <c:pt idx="229">
                  <c:v>696</c:v>
                </c:pt>
                <c:pt idx="230">
                  <c:v>696</c:v>
                </c:pt>
                <c:pt idx="231">
                  <c:v>696</c:v>
                </c:pt>
                <c:pt idx="232">
                  <c:v>696</c:v>
                </c:pt>
                <c:pt idx="233">
                  <c:v>696</c:v>
                </c:pt>
                <c:pt idx="234">
                  <c:v>696</c:v>
                </c:pt>
                <c:pt idx="235">
                  <c:v>696</c:v>
                </c:pt>
                <c:pt idx="236">
                  <c:v>696</c:v>
                </c:pt>
                <c:pt idx="237">
                  <c:v>696</c:v>
                </c:pt>
                <c:pt idx="238">
                  <c:v>696</c:v>
                </c:pt>
                <c:pt idx="239">
                  <c:v>696</c:v>
                </c:pt>
                <c:pt idx="240">
                  <c:v>696</c:v>
                </c:pt>
                <c:pt idx="241">
                  <c:v>696</c:v>
                </c:pt>
                <c:pt idx="242">
                  <c:v>1544</c:v>
                </c:pt>
                <c:pt idx="243">
                  <c:v>1544</c:v>
                </c:pt>
                <c:pt idx="244">
                  <c:v>1544</c:v>
                </c:pt>
                <c:pt idx="245">
                  <c:v>1544</c:v>
                </c:pt>
                <c:pt idx="246">
                  <c:v>1544</c:v>
                </c:pt>
                <c:pt idx="247">
                  <c:v>1544</c:v>
                </c:pt>
                <c:pt idx="248">
                  <c:v>1544</c:v>
                </c:pt>
                <c:pt idx="249">
                  <c:v>1544</c:v>
                </c:pt>
                <c:pt idx="250">
                  <c:v>1544</c:v>
                </c:pt>
                <c:pt idx="251">
                  <c:v>1544</c:v>
                </c:pt>
                <c:pt idx="252">
                  <c:v>1544</c:v>
                </c:pt>
                <c:pt idx="253">
                  <c:v>1544</c:v>
                </c:pt>
                <c:pt idx="254">
                  <c:v>1544</c:v>
                </c:pt>
                <c:pt idx="255">
                  <c:v>1544</c:v>
                </c:pt>
                <c:pt idx="256">
                  <c:v>1544</c:v>
                </c:pt>
                <c:pt idx="257">
                  <c:v>1544</c:v>
                </c:pt>
                <c:pt idx="258">
                  <c:v>1544</c:v>
                </c:pt>
                <c:pt idx="259">
                  <c:v>1544</c:v>
                </c:pt>
                <c:pt idx="260">
                  <c:v>1544</c:v>
                </c:pt>
                <c:pt idx="261">
                  <c:v>1544</c:v>
                </c:pt>
                <c:pt idx="262">
                  <c:v>1544</c:v>
                </c:pt>
                <c:pt idx="263">
                  <c:v>1544</c:v>
                </c:pt>
                <c:pt idx="264">
                  <c:v>1544</c:v>
                </c:pt>
                <c:pt idx="265">
                  <c:v>1544</c:v>
                </c:pt>
                <c:pt idx="266">
                  <c:v>1544</c:v>
                </c:pt>
                <c:pt idx="267">
                  <c:v>1544</c:v>
                </c:pt>
                <c:pt idx="268">
                  <c:v>1544</c:v>
                </c:pt>
                <c:pt idx="269">
                  <c:v>1544</c:v>
                </c:pt>
                <c:pt idx="270">
                  <c:v>1544</c:v>
                </c:pt>
                <c:pt idx="271">
                  <c:v>1544</c:v>
                </c:pt>
                <c:pt idx="272">
                  <c:v>1544</c:v>
                </c:pt>
                <c:pt idx="273">
                  <c:v>1027</c:v>
                </c:pt>
                <c:pt idx="274">
                  <c:v>1027</c:v>
                </c:pt>
                <c:pt idx="275">
                  <c:v>1027</c:v>
                </c:pt>
                <c:pt idx="276">
                  <c:v>1027</c:v>
                </c:pt>
                <c:pt idx="277">
                  <c:v>1027</c:v>
                </c:pt>
                <c:pt idx="278">
                  <c:v>1027</c:v>
                </c:pt>
                <c:pt idx="279">
                  <c:v>1027</c:v>
                </c:pt>
                <c:pt idx="280">
                  <c:v>1027</c:v>
                </c:pt>
                <c:pt idx="281">
                  <c:v>1027</c:v>
                </c:pt>
                <c:pt idx="282">
                  <c:v>1027</c:v>
                </c:pt>
                <c:pt idx="283">
                  <c:v>1027</c:v>
                </c:pt>
                <c:pt idx="284">
                  <c:v>1027</c:v>
                </c:pt>
                <c:pt idx="285">
                  <c:v>1027</c:v>
                </c:pt>
                <c:pt idx="286">
                  <c:v>1027</c:v>
                </c:pt>
                <c:pt idx="287">
                  <c:v>1027</c:v>
                </c:pt>
                <c:pt idx="288">
                  <c:v>1027</c:v>
                </c:pt>
                <c:pt idx="289">
                  <c:v>1027</c:v>
                </c:pt>
                <c:pt idx="290">
                  <c:v>1027</c:v>
                </c:pt>
                <c:pt idx="291">
                  <c:v>1027</c:v>
                </c:pt>
                <c:pt idx="292">
                  <c:v>1027</c:v>
                </c:pt>
                <c:pt idx="293">
                  <c:v>1027</c:v>
                </c:pt>
                <c:pt idx="294">
                  <c:v>1027</c:v>
                </c:pt>
                <c:pt idx="295">
                  <c:v>1027</c:v>
                </c:pt>
                <c:pt idx="296">
                  <c:v>1027</c:v>
                </c:pt>
                <c:pt idx="297">
                  <c:v>1027</c:v>
                </c:pt>
                <c:pt idx="298">
                  <c:v>1027</c:v>
                </c:pt>
                <c:pt idx="299">
                  <c:v>1027</c:v>
                </c:pt>
                <c:pt idx="300">
                  <c:v>1027</c:v>
                </c:pt>
                <c:pt idx="301">
                  <c:v>1027</c:v>
                </c:pt>
                <c:pt idx="302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F4-49B1-9FEB-7ACE2A08D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4517600"/>
        <c:axId val="1234507520"/>
      </c:lineChart>
      <c:dateAx>
        <c:axId val="1234517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/>
                  <a:t>Дата</a:t>
                </a:r>
              </a:p>
            </c:rich>
          </c:tx>
          <c:layout>
            <c:manualLayout>
              <c:xMode val="edge"/>
              <c:yMode val="edge"/>
              <c:x val="0.49721562875974717"/>
              <c:y val="0.824832818477022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4507520"/>
        <c:crosses val="autoZero"/>
        <c:auto val="1"/>
        <c:lblOffset val="100"/>
        <c:baseTimeUnit val="days"/>
      </c:dateAx>
      <c:valAx>
        <c:axId val="123450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/>
                  <a:t>Количество</a:t>
                </a:r>
                <a:r>
                  <a:rPr lang="ru-RU" sz="1100" baseline="0"/>
                  <a:t> пользователей</a:t>
                </a:r>
                <a:endParaRPr lang="ru-RU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451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Sticky_Factor(week)</a:t>
            </a:r>
            <a:r>
              <a:rPr lang="en-US" sz="1600" b="1" baseline="0">
                <a:solidFill>
                  <a:sysClr val="windowText" lastClr="000000"/>
                </a:solidFill>
              </a:rPr>
              <a:t>   Sticky_Factor(month) </a:t>
            </a:r>
            <a:r>
              <a:rPr lang="ru-RU" sz="1600" b="1">
                <a:solidFill>
                  <a:sysClr val="windowText" lastClr="000000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 запроса'!$AD$218</c:f>
              <c:strCache>
                <c:ptCount val="1"/>
                <c:pt idx="0">
                  <c:v>Sticky Factor(week)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запроса'!$Z$219:$Z$521</c:f>
              <c:numCache>
                <c:formatCode>mm/yyyy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запроса'!$AD$219:$AD$521</c:f>
              <c:numCache>
                <c:formatCode>0%</c:formatCode>
                <c:ptCount val="303"/>
                <c:pt idx="0">
                  <c:v>0.5</c:v>
                </c:pt>
                <c:pt idx="1">
                  <c:v>1</c:v>
                </c:pt>
                <c:pt idx="2">
                  <c:v>8.4745762711864403E-2</c:v>
                </c:pt>
                <c:pt idx="3">
                  <c:v>0.16949152542372881</c:v>
                </c:pt>
                <c:pt idx="4">
                  <c:v>8.4745762711864403E-2</c:v>
                </c:pt>
                <c:pt idx="5">
                  <c:v>0.22033898305084745</c:v>
                </c:pt>
                <c:pt idx="6">
                  <c:v>0.3728813559322034</c:v>
                </c:pt>
                <c:pt idx="7">
                  <c:v>0.3728813559322034</c:v>
                </c:pt>
                <c:pt idx="8">
                  <c:v>0.44067796610169491</c:v>
                </c:pt>
                <c:pt idx="9">
                  <c:v>0.25</c:v>
                </c:pt>
                <c:pt idx="10">
                  <c:v>0.2608695652173913</c:v>
                </c:pt>
                <c:pt idx="11">
                  <c:v>0.32608695652173914</c:v>
                </c:pt>
                <c:pt idx="12">
                  <c:v>0.34782608695652173</c:v>
                </c:pt>
                <c:pt idx="13">
                  <c:v>0.27173913043478259</c:v>
                </c:pt>
                <c:pt idx="14">
                  <c:v>0.36956521739130432</c:v>
                </c:pt>
                <c:pt idx="15">
                  <c:v>0.42391304347826086</c:v>
                </c:pt>
                <c:pt idx="16">
                  <c:v>0.16541353383458646</c:v>
                </c:pt>
                <c:pt idx="17">
                  <c:v>0.2857142857142857</c:v>
                </c:pt>
                <c:pt idx="18">
                  <c:v>0.25563909774436089</c:v>
                </c:pt>
                <c:pt idx="19">
                  <c:v>0.37593984962406013</c:v>
                </c:pt>
                <c:pt idx="20">
                  <c:v>0.32330827067669171</c:v>
                </c:pt>
                <c:pt idx="21">
                  <c:v>0.32330827067669171</c:v>
                </c:pt>
                <c:pt idx="22">
                  <c:v>0.39849624060150374</c:v>
                </c:pt>
                <c:pt idx="23">
                  <c:v>0.34426229508196721</c:v>
                </c:pt>
                <c:pt idx="24">
                  <c:v>0.26229508196721313</c:v>
                </c:pt>
                <c:pt idx="25">
                  <c:v>0.32240437158469948</c:v>
                </c:pt>
                <c:pt idx="26">
                  <c:v>0.32240437158469948</c:v>
                </c:pt>
                <c:pt idx="27">
                  <c:v>0.33333333333333331</c:v>
                </c:pt>
                <c:pt idx="28">
                  <c:v>0.34972677595628415</c:v>
                </c:pt>
                <c:pt idx="29">
                  <c:v>0.34972677595628415</c:v>
                </c:pt>
                <c:pt idx="30">
                  <c:v>0.25742574257425743</c:v>
                </c:pt>
                <c:pt idx="31">
                  <c:v>0.30693069306930693</c:v>
                </c:pt>
                <c:pt idx="32">
                  <c:v>0.2722772277227723</c:v>
                </c:pt>
                <c:pt idx="33">
                  <c:v>0.29702970297029702</c:v>
                </c:pt>
                <c:pt idx="34">
                  <c:v>0.25742574257425743</c:v>
                </c:pt>
                <c:pt idx="35">
                  <c:v>0.30693069306930693</c:v>
                </c:pt>
                <c:pt idx="36">
                  <c:v>0.29207920792079206</c:v>
                </c:pt>
                <c:pt idx="37">
                  <c:v>0.30051813471502592</c:v>
                </c:pt>
                <c:pt idx="38">
                  <c:v>0.27461139896373055</c:v>
                </c:pt>
                <c:pt idx="39">
                  <c:v>0.28497409326424872</c:v>
                </c:pt>
                <c:pt idx="40">
                  <c:v>0.33678756476683935</c:v>
                </c:pt>
                <c:pt idx="41">
                  <c:v>0.27979274611398963</c:v>
                </c:pt>
                <c:pt idx="42">
                  <c:v>0.38341968911917096</c:v>
                </c:pt>
                <c:pt idx="43">
                  <c:v>0.30569948186528495</c:v>
                </c:pt>
                <c:pt idx="44">
                  <c:v>0.26865671641791045</c:v>
                </c:pt>
                <c:pt idx="45">
                  <c:v>0.3383084577114428</c:v>
                </c:pt>
                <c:pt idx="46">
                  <c:v>0.29353233830845771</c:v>
                </c:pt>
                <c:pt idx="47">
                  <c:v>0.30348258706467662</c:v>
                </c:pt>
                <c:pt idx="48">
                  <c:v>0.28855721393034828</c:v>
                </c:pt>
                <c:pt idx="49">
                  <c:v>0.33333333333333331</c:v>
                </c:pt>
                <c:pt idx="50">
                  <c:v>0.30845771144278605</c:v>
                </c:pt>
                <c:pt idx="51">
                  <c:v>0.25728155339805825</c:v>
                </c:pt>
                <c:pt idx="52">
                  <c:v>0.29126213592233008</c:v>
                </c:pt>
                <c:pt idx="53">
                  <c:v>0.32524271844660196</c:v>
                </c:pt>
                <c:pt idx="54">
                  <c:v>0.32524271844660196</c:v>
                </c:pt>
                <c:pt idx="55">
                  <c:v>0.29611650485436891</c:v>
                </c:pt>
                <c:pt idx="56">
                  <c:v>0.30582524271844658</c:v>
                </c:pt>
                <c:pt idx="57">
                  <c:v>0.29611650485436891</c:v>
                </c:pt>
                <c:pt idx="58">
                  <c:v>0.28125</c:v>
                </c:pt>
                <c:pt idx="59">
                  <c:v>0.375</c:v>
                </c:pt>
                <c:pt idx="60">
                  <c:v>0.28125</c:v>
                </c:pt>
                <c:pt idx="61">
                  <c:v>0.34375</c:v>
                </c:pt>
                <c:pt idx="62">
                  <c:v>0.31770833333333331</c:v>
                </c:pt>
                <c:pt idx="63">
                  <c:v>0.30208333333333331</c:v>
                </c:pt>
                <c:pt idx="64">
                  <c:v>0.33333333333333331</c:v>
                </c:pt>
                <c:pt idx="65">
                  <c:v>0.31632653061224492</c:v>
                </c:pt>
                <c:pt idx="66">
                  <c:v>0.23469387755102042</c:v>
                </c:pt>
                <c:pt idx="67">
                  <c:v>0.25</c:v>
                </c:pt>
                <c:pt idx="68">
                  <c:v>0.30102040816326531</c:v>
                </c:pt>
                <c:pt idx="69">
                  <c:v>0.30612244897959184</c:v>
                </c:pt>
                <c:pt idx="70">
                  <c:v>0.27040816326530615</c:v>
                </c:pt>
                <c:pt idx="71">
                  <c:v>0.31122448979591838</c:v>
                </c:pt>
                <c:pt idx="72">
                  <c:v>0.28292682926829266</c:v>
                </c:pt>
                <c:pt idx="73">
                  <c:v>0.31219512195121951</c:v>
                </c:pt>
                <c:pt idx="74">
                  <c:v>0.31707317073170732</c:v>
                </c:pt>
                <c:pt idx="75">
                  <c:v>0.36097560975609755</c:v>
                </c:pt>
                <c:pt idx="76">
                  <c:v>0.28292682926829266</c:v>
                </c:pt>
                <c:pt idx="77">
                  <c:v>0.30243902439024389</c:v>
                </c:pt>
                <c:pt idx="78">
                  <c:v>0.33658536585365856</c:v>
                </c:pt>
                <c:pt idx="79">
                  <c:v>0.30985915492957744</c:v>
                </c:pt>
                <c:pt idx="80">
                  <c:v>0.31455399061032863</c:v>
                </c:pt>
                <c:pt idx="81">
                  <c:v>0.33333333333333331</c:v>
                </c:pt>
                <c:pt idx="82">
                  <c:v>0.31455399061032863</c:v>
                </c:pt>
                <c:pt idx="83">
                  <c:v>0.25821596244131456</c:v>
                </c:pt>
                <c:pt idx="84">
                  <c:v>0.27230046948356806</c:v>
                </c:pt>
                <c:pt idx="85">
                  <c:v>0.34272300469483569</c:v>
                </c:pt>
                <c:pt idx="86">
                  <c:v>0.27884615384615385</c:v>
                </c:pt>
                <c:pt idx="87">
                  <c:v>0.36538461538461536</c:v>
                </c:pt>
                <c:pt idx="88">
                  <c:v>0.29807692307692307</c:v>
                </c:pt>
                <c:pt idx="89">
                  <c:v>0.31730769230769229</c:v>
                </c:pt>
                <c:pt idx="90">
                  <c:v>0.28365384615384615</c:v>
                </c:pt>
                <c:pt idx="91">
                  <c:v>0.29326923076923078</c:v>
                </c:pt>
                <c:pt idx="92">
                  <c:v>0.25</c:v>
                </c:pt>
                <c:pt idx="93">
                  <c:v>0.33333333333333331</c:v>
                </c:pt>
                <c:pt idx="94">
                  <c:v>0.33816425120772947</c:v>
                </c:pt>
                <c:pt idx="95">
                  <c:v>0.21739130434782608</c:v>
                </c:pt>
                <c:pt idx="96">
                  <c:v>0.3719806763285024</c:v>
                </c:pt>
                <c:pt idx="97">
                  <c:v>0.29468599033816423</c:v>
                </c:pt>
                <c:pt idx="98">
                  <c:v>0.27053140096618356</c:v>
                </c:pt>
                <c:pt idx="99">
                  <c:v>0.3188405797101449</c:v>
                </c:pt>
                <c:pt idx="100">
                  <c:v>0.25</c:v>
                </c:pt>
                <c:pt idx="101">
                  <c:v>0.28921568627450983</c:v>
                </c:pt>
                <c:pt idx="102">
                  <c:v>0.31862745098039214</c:v>
                </c:pt>
                <c:pt idx="103">
                  <c:v>0.25980392156862747</c:v>
                </c:pt>
                <c:pt idx="104">
                  <c:v>0.35294117647058826</c:v>
                </c:pt>
                <c:pt idx="105">
                  <c:v>0.30392156862745096</c:v>
                </c:pt>
                <c:pt idx="106">
                  <c:v>0.30392156862745096</c:v>
                </c:pt>
                <c:pt idx="107">
                  <c:v>0.34825870646766172</c:v>
                </c:pt>
                <c:pt idx="108">
                  <c:v>0.30845771144278605</c:v>
                </c:pt>
                <c:pt idx="109">
                  <c:v>0.4079601990049751</c:v>
                </c:pt>
                <c:pt idx="110">
                  <c:v>0.25870646766169153</c:v>
                </c:pt>
                <c:pt idx="111">
                  <c:v>0.32338308457711445</c:v>
                </c:pt>
                <c:pt idx="112">
                  <c:v>0.31840796019900497</c:v>
                </c:pt>
                <c:pt idx="113">
                  <c:v>0.28358208955223879</c:v>
                </c:pt>
                <c:pt idx="114">
                  <c:v>0.27230046948356806</c:v>
                </c:pt>
                <c:pt idx="115">
                  <c:v>0.30985915492957744</c:v>
                </c:pt>
                <c:pt idx="116">
                  <c:v>0.28169014084507044</c:v>
                </c:pt>
                <c:pt idx="117">
                  <c:v>0.25821596244131456</c:v>
                </c:pt>
                <c:pt idx="118">
                  <c:v>0.30516431924882631</c:v>
                </c:pt>
                <c:pt idx="119">
                  <c:v>0.25352112676056338</c:v>
                </c:pt>
                <c:pt idx="120">
                  <c:v>0.30985915492957744</c:v>
                </c:pt>
                <c:pt idx="121">
                  <c:v>0.3364485981308411</c:v>
                </c:pt>
                <c:pt idx="122">
                  <c:v>0.27102803738317754</c:v>
                </c:pt>
                <c:pt idx="123">
                  <c:v>0.2570093457943925</c:v>
                </c:pt>
                <c:pt idx="124">
                  <c:v>0.26168224299065418</c:v>
                </c:pt>
                <c:pt idx="125">
                  <c:v>0.29439252336448596</c:v>
                </c:pt>
                <c:pt idx="126">
                  <c:v>0.32242990654205606</c:v>
                </c:pt>
                <c:pt idx="127">
                  <c:v>0.28971962616822428</c:v>
                </c:pt>
                <c:pt idx="128">
                  <c:v>0.29556650246305421</c:v>
                </c:pt>
                <c:pt idx="129">
                  <c:v>0.29556650246305421</c:v>
                </c:pt>
                <c:pt idx="130">
                  <c:v>0.29556650246305421</c:v>
                </c:pt>
                <c:pt idx="131">
                  <c:v>0.27093596059113301</c:v>
                </c:pt>
                <c:pt idx="132">
                  <c:v>0.30541871921182268</c:v>
                </c:pt>
                <c:pt idx="133">
                  <c:v>0.26108374384236455</c:v>
                </c:pt>
                <c:pt idx="134">
                  <c:v>0.26600985221674878</c:v>
                </c:pt>
                <c:pt idx="135">
                  <c:v>0.22772277227722773</c:v>
                </c:pt>
                <c:pt idx="136">
                  <c:v>0.2722772277227723</c:v>
                </c:pt>
                <c:pt idx="137">
                  <c:v>0.25247524752475248</c:v>
                </c:pt>
                <c:pt idx="138">
                  <c:v>0.28712871287128711</c:v>
                </c:pt>
                <c:pt idx="139">
                  <c:v>0.25247524752475248</c:v>
                </c:pt>
                <c:pt idx="140">
                  <c:v>0.19801980198019803</c:v>
                </c:pt>
                <c:pt idx="141">
                  <c:v>0.24752475247524752</c:v>
                </c:pt>
                <c:pt idx="142">
                  <c:v>0.20359281437125748</c:v>
                </c:pt>
                <c:pt idx="143">
                  <c:v>0.24550898203592814</c:v>
                </c:pt>
                <c:pt idx="144">
                  <c:v>0.23353293413173654</c:v>
                </c:pt>
                <c:pt idx="145">
                  <c:v>0.19161676646706588</c:v>
                </c:pt>
                <c:pt idx="146">
                  <c:v>0.19161676646706588</c:v>
                </c:pt>
                <c:pt idx="147">
                  <c:v>0.18562874251497005</c:v>
                </c:pt>
                <c:pt idx="148">
                  <c:v>0.20958083832335328</c:v>
                </c:pt>
                <c:pt idx="149">
                  <c:v>0.20382165605095542</c:v>
                </c:pt>
                <c:pt idx="150">
                  <c:v>0.1464968152866242</c:v>
                </c:pt>
                <c:pt idx="151">
                  <c:v>0.22292993630573249</c:v>
                </c:pt>
                <c:pt idx="152">
                  <c:v>0.20382165605095542</c:v>
                </c:pt>
                <c:pt idx="153">
                  <c:v>0.15923566878980891</c:v>
                </c:pt>
                <c:pt idx="154">
                  <c:v>0.12101910828025478</c:v>
                </c:pt>
                <c:pt idx="155">
                  <c:v>0.19108280254777071</c:v>
                </c:pt>
                <c:pt idx="156">
                  <c:v>0.14743589743589744</c:v>
                </c:pt>
                <c:pt idx="157">
                  <c:v>0.20512820512820512</c:v>
                </c:pt>
                <c:pt idx="158">
                  <c:v>0.22435897435897437</c:v>
                </c:pt>
                <c:pt idx="159">
                  <c:v>0.1858974358974359</c:v>
                </c:pt>
                <c:pt idx="160">
                  <c:v>0.23076923076923078</c:v>
                </c:pt>
                <c:pt idx="161">
                  <c:v>0.19230769230769232</c:v>
                </c:pt>
                <c:pt idx="162">
                  <c:v>0.16025641025641027</c:v>
                </c:pt>
                <c:pt idx="163">
                  <c:v>0.20261437908496732</c:v>
                </c:pt>
                <c:pt idx="164">
                  <c:v>0.22222222222222221</c:v>
                </c:pt>
                <c:pt idx="165">
                  <c:v>0.1437908496732026</c:v>
                </c:pt>
                <c:pt idx="166">
                  <c:v>0.16993464052287582</c:v>
                </c:pt>
                <c:pt idx="167">
                  <c:v>0.17647058823529413</c:v>
                </c:pt>
                <c:pt idx="168">
                  <c:v>0.18300653594771241</c:v>
                </c:pt>
                <c:pt idx="169">
                  <c:v>0.13071895424836602</c:v>
                </c:pt>
                <c:pt idx="170">
                  <c:v>0.22068965517241379</c:v>
                </c:pt>
                <c:pt idx="171">
                  <c:v>0.19310344827586207</c:v>
                </c:pt>
                <c:pt idx="172">
                  <c:v>0.19310344827586207</c:v>
                </c:pt>
                <c:pt idx="173">
                  <c:v>0.2</c:v>
                </c:pt>
                <c:pt idx="174">
                  <c:v>0.24827586206896551</c:v>
                </c:pt>
                <c:pt idx="175">
                  <c:v>0.16551724137931034</c:v>
                </c:pt>
                <c:pt idx="176">
                  <c:v>0.22758620689655173</c:v>
                </c:pt>
                <c:pt idx="177">
                  <c:v>0.18439716312056736</c:v>
                </c:pt>
                <c:pt idx="178">
                  <c:v>0.1702127659574468</c:v>
                </c:pt>
                <c:pt idx="179">
                  <c:v>0.22695035460992907</c:v>
                </c:pt>
                <c:pt idx="180">
                  <c:v>0.20567375886524822</c:v>
                </c:pt>
                <c:pt idx="181">
                  <c:v>0.15602836879432624</c:v>
                </c:pt>
                <c:pt idx="182">
                  <c:v>0.26241134751773049</c:v>
                </c:pt>
                <c:pt idx="183">
                  <c:v>0.1702127659574468</c:v>
                </c:pt>
                <c:pt idx="184">
                  <c:v>0.18421052631578946</c:v>
                </c:pt>
                <c:pt idx="185">
                  <c:v>0.21052631578947367</c:v>
                </c:pt>
                <c:pt idx="186">
                  <c:v>0.24210526315789474</c:v>
                </c:pt>
                <c:pt idx="187">
                  <c:v>0.18947368421052632</c:v>
                </c:pt>
                <c:pt idx="188">
                  <c:v>0.24210526315789474</c:v>
                </c:pt>
                <c:pt idx="189">
                  <c:v>0.18421052631578946</c:v>
                </c:pt>
                <c:pt idx="190">
                  <c:v>0.27894736842105261</c:v>
                </c:pt>
                <c:pt idx="191">
                  <c:v>0.22746781115879827</c:v>
                </c:pt>
                <c:pt idx="192">
                  <c:v>0.22317596566523606</c:v>
                </c:pt>
                <c:pt idx="193">
                  <c:v>0.27896995708154504</c:v>
                </c:pt>
                <c:pt idx="194">
                  <c:v>0.22317596566523606</c:v>
                </c:pt>
                <c:pt idx="195">
                  <c:v>0.26609442060085836</c:v>
                </c:pt>
                <c:pt idx="196">
                  <c:v>0.33047210300429186</c:v>
                </c:pt>
                <c:pt idx="197">
                  <c:v>0.26180257510729615</c:v>
                </c:pt>
                <c:pt idx="198">
                  <c:v>0.25735294117647056</c:v>
                </c:pt>
                <c:pt idx="199">
                  <c:v>0.24264705882352941</c:v>
                </c:pt>
                <c:pt idx="200">
                  <c:v>0.26838235294117646</c:v>
                </c:pt>
                <c:pt idx="201">
                  <c:v>0.26838235294117646</c:v>
                </c:pt>
                <c:pt idx="202">
                  <c:v>0.29411764705882354</c:v>
                </c:pt>
                <c:pt idx="203">
                  <c:v>0.27573529411764708</c:v>
                </c:pt>
                <c:pt idx="204">
                  <c:v>0.33088235294117646</c:v>
                </c:pt>
                <c:pt idx="205">
                  <c:v>0.26440677966101694</c:v>
                </c:pt>
                <c:pt idx="206">
                  <c:v>0.30508474576271188</c:v>
                </c:pt>
                <c:pt idx="207">
                  <c:v>0.29830508474576273</c:v>
                </c:pt>
                <c:pt idx="208">
                  <c:v>0.28135593220338984</c:v>
                </c:pt>
                <c:pt idx="209">
                  <c:v>0.31186440677966104</c:v>
                </c:pt>
                <c:pt idx="210">
                  <c:v>0.33559322033898303</c:v>
                </c:pt>
                <c:pt idx="211">
                  <c:v>0.31525423728813562</c:v>
                </c:pt>
                <c:pt idx="212">
                  <c:v>0.33236994219653176</c:v>
                </c:pt>
                <c:pt idx="213">
                  <c:v>0.31213872832369943</c:v>
                </c:pt>
                <c:pt idx="214">
                  <c:v>0.32369942196531792</c:v>
                </c:pt>
                <c:pt idx="215">
                  <c:v>0.24855491329479767</c:v>
                </c:pt>
                <c:pt idx="216">
                  <c:v>0.2832369942196532</c:v>
                </c:pt>
                <c:pt idx="217">
                  <c:v>0.28901734104046245</c:v>
                </c:pt>
                <c:pt idx="218">
                  <c:v>0.27456647398843931</c:v>
                </c:pt>
                <c:pt idx="219">
                  <c:v>0.28823529411764703</c:v>
                </c:pt>
                <c:pt idx="220">
                  <c:v>0.26470588235294118</c:v>
                </c:pt>
                <c:pt idx="221">
                  <c:v>0.31470588235294117</c:v>
                </c:pt>
                <c:pt idx="222">
                  <c:v>0.29705882352941176</c:v>
                </c:pt>
                <c:pt idx="223">
                  <c:v>0.30588235294117649</c:v>
                </c:pt>
                <c:pt idx="224">
                  <c:v>0.28823529411764703</c:v>
                </c:pt>
                <c:pt idx="225">
                  <c:v>0.29705882352941176</c:v>
                </c:pt>
                <c:pt idx="226">
                  <c:v>0.27089337175792505</c:v>
                </c:pt>
                <c:pt idx="227">
                  <c:v>0.31123919308357351</c:v>
                </c:pt>
                <c:pt idx="228">
                  <c:v>0.29682997118155618</c:v>
                </c:pt>
                <c:pt idx="229">
                  <c:v>0.2737752161383285</c:v>
                </c:pt>
                <c:pt idx="230">
                  <c:v>0.30835734870317005</c:v>
                </c:pt>
                <c:pt idx="231">
                  <c:v>0.33429394812680113</c:v>
                </c:pt>
                <c:pt idx="232">
                  <c:v>0.31412103746397696</c:v>
                </c:pt>
                <c:pt idx="233">
                  <c:v>0.21875</c:v>
                </c:pt>
                <c:pt idx="234">
                  <c:v>0.25520833333333331</c:v>
                </c:pt>
                <c:pt idx="235">
                  <c:v>0.29947916666666669</c:v>
                </c:pt>
                <c:pt idx="236">
                  <c:v>0.24739583333333334</c:v>
                </c:pt>
                <c:pt idx="237">
                  <c:v>0.27604166666666669</c:v>
                </c:pt>
                <c:pt idx="238">
                  <c:v>0.30729166666666669</c:v>
                </c:pt>
                <c:pt idx="239">
                  <c:v>0.33072916666666669</c:v>
                </c:pt>
                <c:pt idx="240">
                  <c:v>0.1702127659574468</c:v>
                </c:pt>
                <c:pt idx="241">
                  <c:v>0.2144026186579378</c:v>
                </c:pt>
                <c:pt idx="242">
                  <c:v>0.21276595744680851</c:v>
                </c:pt>
                <c:pt idx="243">
                  <c:v>0.22585924713584288</c:v>
                </c:pt>
                <c:pt idx="244">
                  <c:v>0.27332242225859249</c:v>
                </c:pt>
                <c:pt idx="245">
                  <c:v>0.27823240589198034</c:v>
                </c:pt>
                <c:pt idx="246">
                  <c:v>0.27004909983633391</c:v>
                </c:pt>
                <c:pt idx="247">
                  <c:v>0.20926966292134833</c:v>
                </c:pt>
                <c:pt idx="248">
                  <c:v>0.21207865168539325</c:v>
                </c:pt>
                <c:pt idx="249">
                  <c:v>0.24297752808988765</c:v>
                </c:pt>
                <c:pt idx="250">
                  <c:v>0.21067415730337077</c:v>
                </c:pt>
                <c:pt idx="251">
                  <c:v>0.22752808988764045</c:v>
                </c:pt>
                <c:pt idx="252">
                  <c:v>0.24578651685393257</c:v>
                </c:pt>
                <c:pt idx="253">
                  <c:v>0.24719101123595505</c:v>
                </c:pt>
                <c:pt idx="254">
                  <c:v>0.23316062176165803</c:v>
                </c:pt>
                <c:pt idx="255">
                  <c:v>0.21761658031088082</c:v>
                </c:pt>
                <c:pt idx="256">
                  <c:v>0.23963730569948186</c:v>
                </c:pt>
                <c:pt idx="257">
                  <c:v>0.2344559585492228</c:v>
                </c:pt>
                <c:pt idx="258">
                  <c:v>0.22279792746113988</c:v>
                </c:pt>
                <c:pt idx="259">
                  <c:v>0.2422279792746114</c:v>
                </c:pt>
                <c:pt idx="260">
                  <c:v>0.28238341968911918</c:v>
                </c:pt>
                <c:pt idx="261">
                  <c:v>0.28048780487804881</c:v>
                </c:pt>
                <c:pt idx="262">
                  <c:v>0.29573170731707316</c:v>
                </c:pt>
                <c:pt idx="263">
                  <c:v>0.19969512195121952</c:v>
                </c:pt>
                <c:pt idx="264">
                  <c:v>0.26829268292682928</c:v>
                </c:pt>
                <c:pt idx="265">
                  <c:v>0.2073170731707317</c:v>
                </c:pt>
                <c:pt idx="266">
                  <c:v>0.23323170731707318</c:v>
                </c:pt>
                <c:pt idx="267">
                  <c:v>0.2423780487804878</c:v>
                </c:pt>
                <c:pt idx="268">
                  <c:v>0.21633888048411498</c:v>
                </c:pt>
                <c:pt idx="269">
                  <c:v>0.23600605143721634</c:v>
                </c:pt>
                <c:pt idx="270">
                  <c:v>0.22844175491679275</c:v>
                </c:pt>
                <c:pt idx="271">
                  <c:v>0.22390317700453857</c:v>
                </c:pt>
                <c:pt idx="272">
                  <c:v>0.2783661119515885</c:v>
                </c:pt>
                <c:pt idx="273">
                  <c:v>0.30862329803328292</c:v>
                </c:pt>
                <c:pt idx="274">
                  <c:v>0.32526475037821484</c:v>
                </c:pt>
                <c:pt idx="275">
                  <c:v>0.2832618025751073</c:v>
                </c:pt>
                <c:pt idx="276">
                  <c:v>0.28469241773962806</c:v>
                </c:pt>
                <c:pt idx="277">
                  <c:v>0.26895565092989987</c:v>
                </c:pt>
                <c:pt idx="278">
                  <c:v>0.28183118741058655</c:v>
                </c:pt>
                <c:pt idx="279">
                  <c:v>0.27467811158798283</c:v>
                </c:pt>
                <c:pt idx="280">
                  <c:v>0.28612303290414881</c:v>
                </c:pt>
                <c:pt idx="281">
                  <c:v>0.27467811158798283</c:v>
                </c:pt>
                <c:pt idx="282">
                  <c:v>0.28013029315960913</c:v>
                </c:pt>
                <c:pt idx="283">
                  <c:v>0.26058631921824105</c:v>
                </c:pt>
                <c:pt idx="284">
                  <c:v>0.2736156351791531</c:v>
                </c:pt>
                <c:pt idx="285">
                  <c:v>0.27850162866449513</c:v>
                </c:pt>
                <c:pt idx="286">
                  <c:v>0.250814332247557</c:v>
                </c:pt>
                <c:pt idx="287">
                  <c:v>0.23778501628664495</c:v>
                </c:pt>
                <c:pt idx="288">
                  <c:v>0.27035830618892509</c:v>
                </c:pt>
                <c:pt idx="289">
                  <c:v>0.24587155963302754</c:v>
                </c:pt>
                <c:pt idx="290">
                  <c:v>0.27339449541284405</c:v>
                </c:pt>
                <c:pt idx="291">
                  <c:v>0.24220183486238533</c:v>
                </c:pt>
                <c:pt idx="292">
                  <c:v>0.24036697247706423</c:v>
                </c:pt>
                <c:pt idx="293">
                  <c:v>0.19082568807339451</c:v>
                </c:pt>
                <c:pt idx="294">
                  <c:v>0.19266055045871561</c:v>
                </c:pt>
                <c:pt idx="295">
                  <c:v>0.19266055045871561</c:v>
                </c:pt>
                <c:pt idx="296">
                  <c:v>0.2132701421800948</c:v>
                </c:pt>
                <c:pt idx="297">
                  <c:v>0.23933649289099526</c:v>
                </c:pt>
                <c:pt idx="298">
                  <c:v>0.21800947867298578</c:v>
                </c:pt>
                <c:pt idx="299">
                  <c:v>0.16113744075829384</c:v>
                </c:pt>
                <c:pt idx="300">
                  <c:v>0.17772511848341233</c:v>
                </c:pt>
                <c:pt idx="301">
                  <c:v>0.17298578199052134</c:v>
                </c:pt>
                <c:pt idx="302">
                  <c:v>0.16824644549763032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A6-40DE-AA1B-9613B275A2DD}"/>
            </c:ext>
          </c:extLst>
        </c:ser>
        <c:ser>
          <c:idx val="1"/>
          <c:order val="1"/>
          <c:tx>
            <c:strRef>
              <c:f>'Результат запроса'!$AE$218</c:f>
              <c:strCache>
                <c:ptCount val="1"/>
                <c:pt idx="0">
                  <c:v>Sticky Factor(month)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запроса'!$Z$219:$Z$521</c:f>
              <c:numCache>
                <c:formatCode>mm/yyyy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запроса'!$AE$219:$AE$521</c:f>
              <c:numCache>
                <c:formatCode>0%</c:formatCode>
                <c:ptCount val="303"/>
                <c:pt idx="0">
                  <c:v>1.5544041450777202E-2</c:v>
                </c:pt>
                <c:pt idx="1">
                  <c:v>3.1088082901554404E-2</c:v>
                </c:pt>
                <c:pt idx="2">
                  <c:v>2.5906735751295335E-2</c:v>
                </c:pt>
                <c:pt idx="3">
                  <c:v>5.181347150259067E-2</c:v>
                </c:pt>
                <c:pt idx="4">
                  <c:v>2.5906735751295335E-2</c:v>
                </c:pt>
                <c:pt idx="5">
                  <c:v>6.7357512953367879E-2</c:v>
                </c:pt>
                <c:pt idx="6">
                  <c:v>0.11398963730569948</c:v>
                </c:pt>
                <c:pt idx="7">
                  <c:v>0.11398963730569948</c:v>
                </c:pt>
                <c:pt idx="8">
                  <c:v>0.13471502590673576</c:v>
                </c:pt>
                <c:pt idx="9">
                  <c:v>0.11917098445595854</c:v>
                </c:pt>
                <c:pt idx="10">
                  <c:v>0.12435233160621761</c:v>
                </c:pt>
                <c:pt idx="11">
                  <c:v>0.15544041450777202</c:v>
                </c:pt>
                <c:pt idx="12">
                  <c:v>0.16580310880829016</c:v>
                </c:pt>
                <c:pt idx="13">
                  <c:v>0.12953367875647667</c:v>
                </c:pt>
                <c:pt idx="14">
                  <c:v>0.17616580310880828</c:v>
                </c:pt>
                <c:pt idx="15">
                  <c:v>0.20207253886010362</c:v>
                </c:pt>
                <c:pt idx="16">
                  <c:v>0.11398963730569948</c:v>
                </c:pt>
                <c:pt idx="17">
                  <c:v>0.19689119170984457</c:v>
                </c:pt>
                <c:pt idx="18">
                  <c:v>0.17616580310880828</c:v>
                </c:pt>
                <c:pt idx="19">
                  <c:v>0.25906735751295334</c:v>
                </c:pt>
                <c:pt idx="20">
                  <c:v>0.22279792746113988</c:v>
                </c:pt>
                <c:pt idx="21">
                  <c:v>0.22279792746113988</c:v>
                </c:pt>
                <c:pt idx="22">
                  <c:v>0.27461139896373055</c:v>
                </c:pt>
                <c:pt idx="23">
                  <c:v>0.32642487046632124</c:v>
                </c:pt>
                <c:pt idx="24">
                  <c:v>0.24870466321243523</c:v>
                </c:pt>
                <c:pt idx="25">
                  <c:v>0.30569948186528495</c:v>
                </c:pt>
                <c:pt idx="26">
                  <c:v>0.30569948186528495</c:v>
                </c:pt>
                <c:pt idx="27">
                  <c:v>0.31606217616580312</c:v>
                </c:pt>
                <c:pt idx="28">
                  <c:v>0.33160621761658032</c:v>
                </c:pt>
                <c:pt idx="29">
                  <c:v>0.33160621761658032</c:v>
                </c:pt>
                <c:pt idx="30">
                  <c:v>0.14207650273224043</c:v>
                </c:pt>
                <c:pt idx="31">
                  <c:v>0.16939890710382513</c:v>
                </c:pt>
                <c:pt idx="32">
                  <c:v>0.15027322404371585</c:v>
                </c:pt>
                <c:pt idx="33">
                  <c:v>0.16393442622950818</c:v>
                </c:pt>
                <c:pt idx="34">
                  <c:v>0.14207650273224043</c:v>
                </c:pt>
                <c:pt idx="35">
                  <c:v>0.16939890710382513</c:v>
                </c:pt>
                <c:pt idx="36">
                  <c:v>0.16120218579234974</c:v>
                </c:pt>
                <c:pt idx="37">
                  <c:v>0.15846994535519127</c:v>
                </c:pt>
                <c:pt idx="38">
                  <c:v>0.1448087431693989</c:v>
                </c:pt>
                <c:pt idx="39">
                  <c:v>0.15027322404371585</c:v>
                </c:pt>
                <c:pt idx="40">
                  <c:v>0.17759562841530055</c:v>
                </c:pt>
                <c:pt idx="41">
                  <c:v>0.14754098360655737</c:v>
                </c:pt>
                <c:pt idx="42">
                  <c:v>0.20218579234972678</c:v>
                </c:pt>
                <c:pt idx="43">
                  <c:v>0.16120218579234974</c:v>
                </c:pt>
                <c:pt idx="44">
                  <c:v>0.14754098360655737</c:v>
                </c:pt>
                <c:pt idx="45">
                  <c:v>0.18579234972677597</c:v>
                </c:pt>
                <c:pt idx="46">
                  <c:v>0.16120218579234974</c:v>
                </c:pt>
                <c:pt idx="47">
                  <c:v>0.16666666666666666</c:v>
                </c:pt>
                <c:pt idx="48">
                  <c:v>0.15846994535519127</c:v>
                </c:pt>
                <c:pt idx="49">
                  <c:v>0.1830601092896175</c:v>
                </c:pt>
                <c:pt idx="50">
                  <c:v>0.16939890710382513</c:v>
                </c:pt>
                <c:pt idx="51">
                  <c:v>0.1448087431693989</c:v>
                </c:pt>
                <c:pt idx="52">
                  <c:v>0.16393442622950818</c:v>
                </c:pt>
                <c:pt idx="53">
                  <c:v>0.1830601092896175</c:v>
                </c:pt>
                <c:pt idx="54">
                  <c:v>0.1830601092896175</c:v>
                </c:pt>
                <c:pt idx="55">
                  <c:v>0.16666666666666666</c:v>
                </c:pt>
                <c:pt idx="56">
                  <c:v>0.1721311475409836</c:v>
                </c:pt>
                <c:pt idx="57">
                  <c:v>0.16666666666666666</c:v>
                </c:pt>
                <c:pt idx="58">
                  <c:v>0.14754098360655737</c:v>
                </c:pt>
                <c:pt idx="59">
                  <c:v>0.19672131147540983</c:v>
                </c:pt>
                <c:pt idx="60">
                  <c:v>0.14754098360655737</c:v>
                </c:pt>
                <c:pt idx="61">
                  <c:v>0.17460317460317459</c:v>
                </c:pt>
                <c:pt idx="62">
                  <c:v>0.16137566137566137</c:v>
                </c:pt>
                <c:pt idx="63">
                  <c:v>0.15343915343915343</c:v>
                </c:pt>
                <c:pt idx="64">
                  <c:v>0.1693121693121693</c:v>
                </c:pt>
                <c:pt idx="65">
                  <c:v>0.16402116402116401</c:v>
                </c:pt>
                <c:pt idx="66">
                  <c:v>0.12169312169312169</c:v>
                </c:pt>
                <c:pt idx="67">
                  <c:v>0.12962962962962962</c:v>
                </c:pt>
                <c:pt idx="68">
                  <c:v>0.15608465608465608</c:v>
                </c:pt>
                <c:pt idx="69">
                  <c:v>0.15873015873015872</c:v>
                </c:pt>
                <c:pt idx="70">
                  <c:v>0.1402116402116402</c:v>
                </c:pt>
                <c:pt idx="71">
                  <c:v>0.16137566137566137</c:v>
                </c:pt>
                <c:pt idx="72">
                  <c:v>0.15343915343915343</c:v>
                </c:pt>
                <c:pt idx="73">
                  <c:v>0.1693121693121693</c:v>
                </c:pt>
                <c:pt idx="74">
                  <c:v>0.17195767195767195</c:v>
                </c:pt>
                <c:pt idx="75">
                  <c:v>0.19576719576719576</c:v>
                </c:pt>
                <c:pt idx="76">
                  <c:v>0.15343915343915343</c:v>
                </c:pt>
                <c:pt idx="77">
                  <c:v>0.16402116402116401</c:v>
                </c:pt>
                <c:pt idx="78">
                  <c:v>0.18253968253968253</c:v>
                </c:pt>
                <c:pt idx="79">
                  <c:v>0.17460317460317459</c:v>
                </c:pt>
                <c:pt idx="80">
                  <c:v>0.17724867724867724</c:v>
                </c:pt>
                <c:pt idx="81">
                  <c:v>0.18783068783068782</c:v>
                </c:pt>
                <c:pt idx="82">
                  <c:v>0.17724867724867724</c:v>
                </c:pt>
                <c:pt idx="83">
                  <c:v>0.14550264550264549</c:v>
                </c:pt>
                <c:pt idx="84">
                  <c:v>0.15343915343915343</c:v>
                </c:pt>
                <c:pt idx="85">
                  <c:v>0.19312169312169311</c:v>
                </c:pt>
                <c:pt idx="86">
                  <c:v>0.15343915343915343</c:v>
                </c:pt>
                <c:pt idx="87">
                  <c:v>0.20105820105820105</c:v>
                </c:pt>
                <c:pt idx="88">
                  <c:v>0.16402116402116401</c:v>
                </c:pt>
                <c:pt idx="89">
                  <c:v>0.17460317460317459</c:v>
                </c:pt>
                <c:pt idx="90">
                  <c:v>0.15608465608465608</c:v>
                </c:pt>
                <c:pt idx="91">
                  <c:v>0.15521628498727735</c:v>
                </c:pt>
                <c:pt idx="92">
                  <c:v>0.13231552162849872</c:v>
                </c:pt>
                <c:pt idx="93">
                  <c:v>0.17557251908396945</c:v>
                </c:pt>
                <c:pt idx="94">
                  <c:v>0.17811704834605599</c:v>
                </c:pt>
                <c:pt idx="95">
                  <c:v>0.11450381679389313</c:v>
                </c:pt>
                <c:pt idx="96">
                  <c:v>0.19592875318066158</c:v>
                </c:pt>
                <c:pt idx="97">
                  <c:v>0.15521628498727735</c:v>
                </c:pt>
                <c:pt idx="98">
                  <c:v>0.14249363867684478</c:v>
                </c:pt>
                <c:pt idx="99">
                  <c:v>0.16793893129770993</c:v>
                </c:pt>
                <c:pt idx="100">
                  <c:v>0.12977099236641221</c:v>
                </c:pt>
                <c:pt idx="101">
                  <c:v>0.15012722646310434</c:v>
                </c:pt>
                <c:pt idx="102">
                  <c:v>0.16539440203562342</c:v>
                </c:pt>
                <c:pt idx="103">
                  <c:v>0.13486005089058525</c:v>
                </c:pt>
                <c:pt idx="104">
                  <c:v>0.18320610687022901</c:v>
                </c:pt>
                <c:pt idx="105">
                  <c:v>0.15776081424936386</c:v>
                </c:pt>
                <c:pt idx="106">
                  <c:v>0.15776081424936386</c:v>
                </c:pt>
                <c:pt idx="107">
                  <c:v>0.17811704834605599</c:v>
                </c:pt>
                <c:pt idx="108">
                  <c:v>0.15776081424936386</c:v>
                </c:pt>
                <c:pt idx="109">
                  <c:v>0.20865139949109415</c:v>
                </c:pt>
                <c:pt idx="110">
                  <c:v>0.13231552162849872</c:v>
                </c:pt>
                <c:pt idx="111">
                  <c:v>0.16539440203562342</c:v>
                </c:pt>
                <c:pt idx="112">
                  <c:v>0.16284987277353691</c:v>
                </c:pt>
                <c:pt idx="113">
                  <c:v>0.14503816793893129</c:v>
                </c:pt>
                <c:pt idx="114">
                  <c:v>0.1475826972010178</c:v>
                </c:pt>
                <c:pt idx="115">
                  <c:v>0.16793893129770993</c:v>
                </c:pt>
                <c:pt idx="116">
                  <c:v>0.15267175572519084</c:v>
                </c:pt>
                <c:pt idx="117">
                  <c:v>0.13994910941475827</c:v>
                </c:pt>
                <c:pt idx="118">
                  <c:v>0.16539440203562342</c:v>
                </c:pt>
                <c:pt idx="119">
                  <c:v>0.13740458015267176</c:v>
                </c:pt>
                <c:pt idx="120">
                  <c:v>0.16793893129770993</c:v>
                </c:pt>
                <c:pt idx="121">
                  <c:v>0.18320610687022901</c:v>
                </c:pt>
                <c:pt idx="122">
                  <c:v>0.13615023474178403</c:v>
                </c:pt>
                <c:pt idx="123">
                  <c:v>0.12910798122065728</c:v>
                </c:pt>
                <c:pt idx="124">
                  <c:v>0.13145539906103287</c:v>
                </c:pt>
                <c:pt idx="125">
                  <c:v>0.14788732394366197</c:v>
                </c:pt>
                <c:pt idx="126">
                  <c:v>0.1619718309859155</c:v>
                </c:pt>
                <c:pt idx="127">
                  <c:v>0.14553990610328638</c:v>
                </c:pt>
                <c:pt idx="128">
                  <c:v>0.14084507042253522</c:v>
                </c:pt>
                <c:pt idx="129">
                  <c:v>0.14084507042253522</c:v>
                </c:pt>
                <c:pt idx="130">
                  <c:v>0.14084507042253522</c:v>
                </c:pt>
                <c:pt idx="131">
                  <c:v>0.12910798122065728</c:v>
                </c:pt>
                <c:pt idx="132">
                  <c:v>0.14553990610328638</c:v>
                </c:pt>
                <c:pt idx="133">
                  <c:v>0.12441314553990611</c:v>
                </c:pt>
                <c:pt idx="134">
                  <c:v>0.12676056338028169</c:v>
                </c:pt>
                <c:pt idx="135">
                  <c:v>0.107981220657277</c:v>
                </c:pt>
                <c:pt idx="136">
                  <c:v>0.12910798122065728</c:v>
                </c:pt>
                <c:pt idx="137">
                  <c:v>0.11971830985915492</c:v>
                </c:pt>
                <c:pt idx="138">
                  <c:v>0.13615023474178403</c:v>
                </c:pt>
                <c:pt idx="139">
                  <c:v>0.11971830985915492</c:v>
                </c:pt>
                <c:pt idx="140">
                  <c:v>9.3896713615023469E-2</c:v>
                </c:pt>
                <c:pt idx="141">
                  <c:v>0.11737089201877934</c:v>
                </c:pt>
                <c:pt idx="142">
                  <c:v>7.9812206572769953E-2</c:v>
                </c:pt>
                <c:pt idx="143">
                  <c:v>9.6244131455399062E-2</c:v>
                </c:pt>
                <c:pt idx="144">
                  <c:v>9.154929577464789E-2</c:v>
                </c:pt>
                <c:pt idx="145">
                  <c:v>7.5117370892018781E-2</c:v>
                </c:pt>
                <c:pt idx="146">
                  <c:v>7.5117370892018781E-2</c:v>
                </c:pt>
                <c:pt idx="147">
                  <c:v>7.2769953051643188E-2</c:v>
                </c:pt>
                <c:pt idx="148">
                  <c:v>8.2159624413145546E-2</c:v>
                </c:pt>
                <c:pt idx="149">
                  <c:v>7.5117370892018781E-2</c:v>
                </c:pt>
                <c:pt idx="150">
                  <c:v>5.39906103286385E-2</c:v>
                </c:pt>
                <c:pt idx="151">
                  <c:v>8.2159624413145546E-2</c:v>
                </c:pt>
                <c:pt idx="152">
                  <c:v>8.2051282051282051E-2</c:v>
                </c:pt>
                <c:pt idx="153">
                  <c:v>6.4102564102564097E-2</c:v>
                </c:pt>
                <c:pt idx="154">
                  <c:v>4.8717948717948718E-2</c:v>
                </c:pt>
                <c:pt idx="155">
                  <c:v>7.6923076923076927E-2</c:v>
                </c:pt>
                <c:pt idx="156">
                  <c:v>5.8974358974358973E-2</c:v>
                </c:pt>
                <c:pt idx="157">
                  <c:v>8.2051282051282051E-2</c:v>
                </c:pt>
                <c:pt idx="158">
                  <c:v>8.9743589743589744E-2</c:v>
                </c:pt>
                <c:pt idx="159">
                  <c:v>7.4358974358974358E-2</c:v>
                </c:pt>
                <c:pt idx="160">
                  <c:v>9.2307692307692313E-2</c:v>
                </c:pt>
                <c:pt idx="161">
                  <c:v>7.6923076923076927E-2</c:v>
                </c:pt>
                <c:pt idx="162">
                  <c:v>6.4102564102564097E-2</c:v>
                </c:pt>
                <c:pt idx="163">
                  <c:v>7.9487179487179482E-2</c:v>
                </c:pt>
                <c:pt idx="164">
                  <c:v>8.7179487179487175E-2</c:v>
                </c:pt>
                <c:pt idx="165">
                  <c:v>5.6410256410256411E-2</c:v>
                </c:pt>
                <c:pt idx="166">
                  <c:v>6.6666666666666666E-2</c:v>
                </c:pt>
                <c:pt idx="167">
                  <c:v>6.9230769230769235E-2</c:v>
                </c:pt>
                <c:pt idx="168">
                  <c:v>7.179487179487179E-2</c:v>
                </c:pt>
                <c:pt idx="169">
                  <c:v>5.128205128205128E-2</c:v>
                </c:pt>
                <c:pt idx="170">
                  <c:v>8.2051282051282051E-2</c:v>
                </c:pt>
                <c:pt idx="171">
                  <c:v>7.179487179487179E-2</c:v>
                </c:pt>
                <c:pt idx="172">
                  <c:v>7.179487179487179E-2</c:v>
                </c:pt>
                <c:pt idx="173">
                  <c:v>7.4358974358974358E-2</c:v>
                </c:pt>
                <c:pt idx="174">
                  <c:v>9.2307692307692313E-2</c:v>
                </c:pt>
                <c:pt idx="175">
                  <c:v>6.1538461538461542E-2</c:v>
                </c:pt>
                <c:pt idx="176">
                  <c:v>8.461538461538462E-2</c:v>
                </c:pt>
                <c:pt idx="177">
                  <c:v>6.6666666666666666E-2</c:v>
                </c:pt>
                <c:pt idx="178">
                  <c:v>6.1538461538461542E-2</c:v>
                </c:pt>
                <c:pt idx="179">
                  <c:v>8.2051282051282051E-2</c:v>
                </c:pt>
                <c:pt idx="180">
                  <c:v>7.4358974358974358E-2</c:v>
                </c:pt>
                <c:pt idx="181">
                  <c:v>5.6410256410256411E-2</c:v>
                </c:pt>
                <c:pt idx="182">
                  <c:v>9.4871794871794868E-2</c:v>
                </c:pt>
                <c:pt idx="183">
                  <c:v>4.4776119402985072E-2</c:v>
                </c:pt>
                <c:pt idx="184">
                  <c:v>6.5298507462686561E-2</c:v>
                </c:pt>
                <c:pt idx="185">
                  <c:v>7.4626865671641784E-2</c:v>
                </c:pt>
                <c:pt idx="186">
                  <c:v>8.5820895522388058E-2</c:v>
                </c:pt>
                <c:pt idx="187">
                  <c:v>6.7164179104477612E-2</c:v>
                </c:pt>
                <c:pt idx="188">
                  <c:v>8.5820895522388058E-2</c:v>
                </c:pt>
                <c:pt idx="189">
                  <c:v>6.5298507462686561E-2</c:v>
                </c:pt>
                <c:pt idx="190">
                  <c:v>9.8880597014925367E-2</c:v>
                </c:pt>
                <c:pt idx="191">
                  <c:v>9.8880597014925367E-2</c:v>
                </c:pt>
                <c:pt idx="192">
                  <c:v>9.7014925373134331E-2</c:v>
                </c:pt>
                <c:pt idx="193">
                  <c:v>0.12126865671641791</c:v>
                </c:pt>
                <c:pt idx="194">
                  <c:v>9.7014925373134331E-2</c:v>
                </c:pt>
                <c:pt idx="195">
                  <c:v>0.11567164179104478</c:v>
                </c:pt>
                <c:pt idx="196">
                  <c:v>0.14365671641791045</c:v>
                </c:pt>
                <c:pt idx="197">
                  <c:v>0.11380597014925373</c:v>
                </c:pt>
                <c:pt idx="198">
                  <c:v>0.13059701492537312</c:v>
                </c:pt>
                <c:pt idx="199">
                  <c:v>0.12313432835820895</c:v>
                </c:pt>
                <c:pt idx="200">
                  <c:v>0.13619402985074627</c:v>
                </c:pt>
                <c:pt idx="201">
                  <c:v>0.13619402985074627</c:v>
                </c:pt>
                <c:pt idx="202">
                  <c:v>0.14925373134328357</c:v>
                </c:pt>
                <c:pt idx="203">
                  <c:v>0.13992537313432835</c:v>
                </c:pt>
                <c:pt idx="204">
                  <c:v>0.16791044776119404</c:v>
                </c:pt>
                <c:pt idx="205">
                  <c:v>0.1455223880597015</c:v>
                </c:pt>
                <c:pt idx="206">
                  <c:v>0.16791044776119404</c:v>
                </c:pt>
                <c:pt idx="207">
                  <c:v>0.16417910447761194</c:v>
                </c:pt>
                <c:pt idx="208">
                  <c:v>0.15485074626865672</c:v>
                </c:pt>
                <c:pt idx="209">
                  <c:v>0.17164179104477612</c:v>
                </c:pt>
                <c:pt idx="210">
                  <c:v>0.18470149253731344</c:v>
                </c:pt>
                <c:pt idx="211">
                  <c:v>0.17350746268656717</c:v>
                </c:pt>
                <c:pt idx="212">
                  <c:v>0.21455223880597016</c:v>
                </c:pt>
                <c:pt idx="213">
                  <c:v>0.20149253731343283</c:v>
                </c:pt>
                <c:pt idx="214">
                  <c:v>0.16091954022988506</c:v>
                </c:pt>
                <c:pt idx="215">
                  <c:v>0.1235632183908046</c:v>
                </c:pt>
                <c:pt idx="216">
                  <c:v>0.14080459770114942</c:v>
                </c:pt>
                <c:pt idx="217">
                  <c:v>0.14367816091954022</c:v>
                </c:pt>
                <c:pt idx="218">
                  <c:v>0.13649425287356323</c:v>
                </c:pt>
                <c:pt idx="219">
                  <c:v>0.14080459770114942</c:v>
                </c:pt>
                <c:pt idx="220">
                  <c:v>0.12931034482758622</c:v>
                </c:pt>
                <c:pt idx="221">
                  <c:v>0.15373563218390804</c:v>
                </c:pt>
                <c:pt idx="222">
                  <c:v>0.14511494252873564</c:v>
                </c:pt>
                <c:pt idx="223">
                  <c:v>0.14942528735632185</c:v>
                </c:pt>
                <c:pt idx="224">
                  <c:v>0.14080459770114942</c:v>
                </c:pt>
                <c:pt idx="225">
                  <c:v>0.14511494252873564</c:v>
                </c:pt>
                <c:pt idx="226">
                  <c:v>0.13505747126436782</c:v>
                </c:pt>
                <c:pt idx="227">
                  <c:v>0.15517241379310345</c:v>
                </c:pt>
                <c:pt idx="228">
                  <c:v>0.14798850574712644</c:v>
                </c:pt>
                <c:pt idx="229">
                  <c:v>0.13649425287356323</c:v>
                </c:pt>
                <c:pt idx="230">
                  <c:v>0.15373563218390804</c:v>
                </c:pt>
                <c:pt idx="231">
                  <c:v>0.16666666666666666</c:v>
                </c:pt>
                <c:pt idx="232">
                  <c:v>0.15660919540229884</c:v>
                </c:pt>
                <c:pt idx="233">
                  <c:v>0.1206896551724138</c:v>
                </c:pt>
                <c:pt idx="234">
                  <c:v>0.14080459770114942</c:v>
                </c:pt>
                <c:pt idx="235">
                  <c:v>0.16522988505747127</c:v>
                </c:pt>
                <c:pt idx="236">
                  <c:v>0.13649425287356323</c:v>
                </c:pt>
                <c:pt idx="237">
                  <c:v>0.15229885057471265</c:v>
                </c:pt>
                <c:pt idx="238">
                  <c:v>0.16954022988505746</c:v>
                </c:pt>
                <c:pt idx="239">
                  <c:v>0.18247126436781611</c:v>
                </c:pt>
                <c:pt idx="240">
                  <c:v>0.14942528735632185</c:v>
                </c:pt>
                <c:pt idx="241">
                  <c:v>0.18821839080459771</c:v>
                </c:pt>
                <c:pt idx="242">
                  <c:v>8.4196891191709838E-2</c:v>
                </c:pt>
                <c:pt idx="243">
                  <c:v>8.937823834196891E-2</c:v>
                </c:pt>
                <c:pt idx="244">
                  <c:v>0.10816062176165803</c:v>
                </c:pt>
                <c:pt idx="245">
                  <c:v>0.11010362694300518</c:v>
                </c:pt>
                <c:pt idx="246">
                  <c:v>0.10686528497409327</c:v>
                </c:pt>
                <c:pt idx="247">
                  <c:v>9.6502590673575125E-2</c:v>
                </c:pt>
                <c:pt idx="248">
                  <c:v>9.7797927461139897E-2</c:v>
                </c:pt>
                <c:pt idx="249">
                  <c:v>0.11204663212435233</c:v>
                </c:pt>
                <c:pt idx="250">
                  <c:v>9.7150259067357511E-2</c:v>
                </c:pt>
                <c:pt idx="251">
                  <c:v>0.10492227979274611</c:v>
                </c:pt>
                <c:pt idx="252">
                  <c:v>0.1133419689119171</c:v>
                </c:pt>
                <c:pt idx="253">
                  <c:v>0.11398963730569948</c:v>
                </c:pt>
                <c:pt idx="254">
                  <c:v>0.11658031088082901</c:v>
                </c:pt>
                <c:pt idx="255">
                  <c:v>0.10880829015544041</c:v>
                </c:pt>
                <c:pt idx="256">
                  <c:v>0.11981865284974093</c:v>
                </c:pt>
                <c:pt idx="257">
                  <c:v>0.1172279792746114</c:v>
                </c:pt>
                <c:pt idx="258">
                  <c:v>0.11139896373056994</c:v>
                </c:pt>
                <c:pt idx="259">
                  <c:v>0.1211139896373057</c:v>
                </c:pt>
                <c:pt idx="260">
                  <c:v>0.14119170984455959</c:v>
                </c:pt>
                <c:pt idx="261">
                  <c:v>0.11917098445595854</c:v>
                </c:pt>
                <c:pt idx="262">
                  <c:v>0.12564766839378239</c:v>
                </c:pt>
                <c:pt idx="263">
                  <c:v>8.4844559585492224E-2</c:v>
                </c:pt>
                <c:pt idx="264">
                  <c:v>0.11398963730569948</c:v>
                </c:pt>
                <c:pt idx="265">
                  <c:v>8.8082901554404139E-2</c:v>
                </c:pt>
                <c:pt idx="266">
                  <c:v>9.9093264248704668E-2</c:v>
                </c:pt>
                <c:pt idx="267">
                  <c:v>0.10297927461139897</c:v>
                </c:pt>
                <c:pt idx="268">
                  <c:v>9.2616580310880825E-2</c:v>
                </c:pt>
                <c:pt idx="269">
                  <c:v>0.10103626943005181</c:v>
                </c:pt>
                <c:pt idx="270">
                  <c:v>9.7797927461139897E-2</c:v>
                </c:pt>
                <c:pt idx="271">
                  <c:v>9.585492227979274E-2</c:v>
                </c:pt>
                <c:pt idx="272">
                  <c:v>0.11917098445595854</c:v>
                </c:pt>
                <c:pt idx="273">
                  <c:v>0.19863680623174293</c:v>
                </c:pt>
                <c:pt idx="274">
                  <c:v>0.20934761441090555</c:v>
                </c:pt>
                <c:pt idx="275">
                  <c:v>0.19279454722492698</c:v>
                </c:pt>
                <c:pt idx="276">
                  <c:v>0.19376825705939629</c:v>
                </c:pt>
                <c:pt idx="277">
                  <c:v>0.1830574488802337</c:v>
                </c:pt>
                <c:pt idx="278">
                  <c:v>0.19182083739045763</c:v>
                </c:pt>
                <c:pt idx="279">
                  <c:v>0.186952288218111</c:v>
                </c:pt>
                <c:pt idx="280">
                  <c:v>0.19474196689386564</c:v>
                </c:pt>
                <c:pt idx="281">
                  <c:v>0.186952288218111</c:v>
                </c:pt>
                <c:pt idx="282">
                  <c:v>0.16747809152872445</c:v>
                </c:pt>
                <c:pt idx="283">
                  <c:v>0.15579357351509251</c:v>
                </c:pt>
                <c:pt idx="284">
                  <c:v>0.16358325219084713</c:v>
                </c:pt>
                <c:pt idx="285">
                  <c:v>0.1665043816942551</c:v>
                </c:pt>
                <c:pt idx="286">
                  <c:v>0.14995131450827653</c:v>
                </c:pt>
                <c:pt idx="287">
                  <c:v>0.14216163583252192</c:v>
                </c:pt>
                <c:pt idx="288">
                  <c:v>0.16163583252190847</c:v>
                </c:pt>
                <c:pt idx="289">
                  <c:v>0.13047711781888996</c:v>
                </c:pt>
                <c:pt idx="290">
                  <c:v>0.1450827653359299</c:v>
                </c:pt>
                <c:pt idx="291">
                  <c:v>0.12852969814995133</c:v>
                </c:pt>
                <c:pt idx="292">
                  <c:v>0.12755598831548198</c:v>
                </c:pt>
                <c:pt idx="293">
                  <c:v>0.10126582278481013</c:v>
                </c:pt>
                <c:pt idx="294">
                  <c:v>0.10223953261927946</c:v>
                </c:pt>
                <c:pt idx="295">
                  <c:v>0.10223953261927946</c:v>
                </c:pt>
                <c:pt idx="296">
                  <c:v>8.7633885102239531E-2</c:v>
                </c:pt>
                <c:pt idx="297">
                  <c:v>9.8344693281402148E-2</c:v>
                </c:pt>
                <c:pt idx="298">
                  <c:v>8.9581304771178191E-2</c:v>
                </c:pt>
                <c:pt idx="299">
                  <c:v>6.621226874391431E-2</c:v>
                </c:pt>
                <c:pt idx="300">
                  <c:v>7.3028237585199607E-2</c:v>
                </c:pt>
                <c:pt idx="301">
                  <c:v>7.108081791626096E-2</c:v>
                </c:pt>
                <c:pt idx="302">
                  <c:v>6.91333982473223E-2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A6-40DE-AA1B-9613B275A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4518080"/>
        <c:axId val="1234511840"/>
      </c:lineChart>
      <c:dateAx>
        <c:axId val="123451808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4511840"/>
        <c:crosses val="autoZero"/>
        <c:auto val="1"/>
        <c:lblOffset val="100"/>
        <c:baseTimeUnit val="days"/>
      </c:dateAx>
      <c:valAx>
        <c:axId val="123451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451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24</xdr:row>
      <xdr:rowOff>0</xdr:rowOff>
    </xdr:from>
    <xdr:to>
      <xdr:col>11</xdr:col>
      <xdr:colOff>0</xdr:colOff>
      <xdr:row>43</xdr:row>
      <xdr:rowOff>180975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E8189D6-D507-9093-2167-9B2C65C6E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9525</xdr:rowOff>
    </xdr:from>
    <xdr:to>
      <xdr:col>10</xdr:col>
      <xdr:colOff>685799</xdr:colOff>
      <xdr:row>19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9832A3D-B039-5085-0CC5-7EC894BAB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19051</xdr:colOff>
      <xdr:row>48</xdr:row>
      <xdr:rowOff>185737</xdr:rowOff>
    </xdr:from>
    <xdr:to>
      <xdr:col>10</xdr:col>
      <xdr:colOff>704850</xdr:colOff>
      <xdr:row>66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EFA32EF-75C8-2D28-EDD6-1D63E26BF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71</xdr:row>
      <xdr:rowOff>176212</xdr:rowOff>
    </xdr:from>
    <xdr:to>
      <xdr:col>11</xdr:col>
      <xdr:colOff>0</xdr:colOff>
      <xdr:row>90</xdr:row>
      <xdr:rowOff>161926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AC8F1CE0-485C-06D5-FF59-ED2605AB0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96</xdr:row>
      <xdr:rowOff>4762</xdr:rowOff>
    </xdr:from>
    <xdr:to>
      <xdr:col>10</xdr:col>
      <xdr:colOff>695325</xdr:colOff>
      <xdr:row>114</xdr:row>
      <xdr:rowOff>171450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46769D40-DAEF-266D-1782-1794F2010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19049</xdr:colOff>
      <xdr:row>120</xdr:row>
      <xdr:rowOff>28576</xdr:rowOff>
    </xdr:from>
    <xdr:to>
      <xdr:col>10</xdr:col>
      <xdr:colOff>704849</xdr:colOff>
      <xdr:row>138</xdr:row>
      <xdr:rowOff>180975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DB934920-BFAC-1358-C2B0-617BC25E1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143</xdr:row>
      <xdr:rowOff>185737</xdr:rowOff>
    </xdr:from>
    <xdr:to>
      <xdr:col>10</xdr:col>
      <xdr:colOff>704850</xdr:colOff>
      <xdr:row>162</xdr:row>
      <xdr:rowOff>171451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C0E38EA6-B07F-1079-47E7-2E1CD1E59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9525</xdr:colOff>
      <xdr:row>168</xdr:row>
      <xdr:rowOff>14286</xdr:rowOff>
    </xdr:from>
    <xdr:to>
      <xdr:col>10</xdr:col>
      <xdr:colOff>704850</xdr:colOff>
      <xdr:row>186</xdr:row>
      <xdr:rowOff>161925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0A374452-C3C2-095A-A542-4C1A16897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19049</xdr:colOff>
      <xdr:row>192</xdr:row>
      <xdr:rowOff>176211</xdr:rowOff>
    </xdr:from>
    <xdr:to>
      <xdr:col>10</xdr:col>
      <xdr:colOff>704849</xdr:colOff>
      <xdr:row>211</xdr:row>
      <xdr:rowOff>171450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6EDDF35F-C368-73D7-DB04-E3DFE2348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19049</xdr:colOff>
      <xdr:row>217</xdr:row>
      <xdr:rowOff>14287</xdr:rowOff>
    </xdr:from>
    <xdr:to>
      <xdr:col>11</xdr:col>
      <xdr:colOff>9524</xdr:colOff>
      <xdr:row>235</xdr:row>
      <xdr:rowOff>180975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C8CA16EA-B387-60BA-A3A9-D7785D0C9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238</xdr:row>
      <xdr:rowOff>14287</xdr:rowOff>
    </xdr:from>
    <xdr:to>
      <xdr:col>10</xdr:col>
      <xdr:colOff>704849</xdr:colOff>
      <xdr:row>257</xdr:row>
      <xdr:rowOff>9525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45E11F96-C324-99C9-D5BF-52022C11F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21"/>
  <sheetViews>
    <sheetView showGridLines="0" tabSelected="1" topLeftCell="A160" workbookViewId="0">
      <selection activeCell="AE214" sqref="AE214"/>
    </sheetView>
  </sheetViews>
  <sheetFormatPr defaultRowHeight="15" x14ac:dyDescent="0.25"/>
  <cols>
    <col min="1" max="1" width="9.85546875" customWidth="1"/>
    <col min="2" max="2" width="11" customWidth="1"/>
    <col min="3" max="3" width="12" customWidth="1"/>
    <col min="4" max="4" width="7.5703125" customWidth="1"/>
    <col min="8" max="8" width="10.140625" bestFit="1" customWidth="1"/>
    <col min="9" max="9" width="9.85546875" customWidth="1"/>
    <col min="10" max="10" width="9.7109375" customWidth="1"/>
    <col min="11" max="11" width="10.7109375" customWidth="1"/>
    <col min="12" max="12" width="9.7109375" customWidth="1"/>
    <col min="13" max="13" width="16.85546875" customWidth="1"/>
    <col min="14" max="14" width="33.42578125" customWidth="1"/>
    <col min="15" max="15" width="27.85546875" bestFit="1" customWidth="1"/>
    <col min="16" max="16" width="21.42578125" customWidth="1"/>
    <col min="18" max="18" width="26.140625" bestFit="1" customWidth="1"/>
    <col min="21" max="21" width="16" customWidth="1"/>
    <col min="24" max="24" width="15" customWidth="1"/>
    <col min="25" max="25" width="13.7109375" customWidth="1"/>
    <col min="26" max="26" width="12.85546875" customWidth="1"/>
    <col min="30" max="30" width="26.140625" bestFit="1" customWidth="1"/>
    <col min="31" max="31" width="25.140625" bestFit="1" customWidth="1"/>
  </cols>
  <sheetData>
    <row r="1" spans="13:14" x14ac:dyDescent="0.25">
      <c r="M1" s="9" t="s">
        <v>0</v>
      </c>
      <c r="N1" s="10" t="s">
        <v>3</v>
      </c>
    </row>
    <row r="2" spans="13:14" x14ac:dyDescent="0.25">
      <c r="M2" s="11">
        <v>44743</v>
      </c>
      <c r="N2" s="12">
        <v>259</v>
      </c>
    </row>
    <row r="3" spans="13:14" x14ac:dyDescent="0.25">
      <c r="M3" s="11">
        <v>44774</v>
      </c>
      <c r="N3" s="12">
        <v>235</v>
      </c>
    </row>
    <row r="4" spans="13:14" x14ac:dyDescent="0.25">
      <c r="M4" s="11">
        <v>44805</v>
      </c>
      <c r="N4" s="12">
        <v>257</v>
      </c>
    </row>
    <row r="5" spans="13:14" x14ac:dyDescent="0.25">
      <c r="M5" s="11">
        <v>44835</v>
      </c>
      <c r="N5" s="12">
        <v>263</v>
      </c>
    </row>
    <row r="6" spans="13:14" x14ac:dyDescent="0.25">
      <c r="M6" s="11">
        <v>44866</v>
      </c>
      <c r="N6" s="12">
        <v>255</v>
      </c>
    </row>
    <row r="7" spans="13:14" x14ac:dyDescent="0.25">
      <c r="M7" s="11">
        <v>44896</v>
      </c>
      <c r="N7" s="12">
        <v>255</v>
      </c>
    </row>
    <row r="8" spans="13:14" x14ac:dyDescent="0.25">
      <c r="M8" s="11">
        <v>44927</v>
      </c>
      <c r="N8" s="12">
        <v>415</v>
      </c>
    </row>
    <row r="9" spans="13:14" x14ac:dyDescent="0.25">
      <c r="M9" s="11">
        <v>44958</v>
      </c>
      <c r="N9" s="12">
        <v>458</v>
      </c>
    </row>
    <row r="10" spans="13:14" x14ac:dyDescent="0.25">
      <c r="M10" s="13">
        <v>44986</v>
      </c>
      <c r="N10" s="14">
        <v>681</v>
      </c>
    </row>
    <row r="11" spans="13:14" x14ac:dyDescent="0.25">
      <c r="M11" s="4" t="s">
        <v>40</v>
      </c>
    </row>
    <row r="20" spans="1:15" x14ac:dyDescent="0.25">
      <c r="A20" t="s">
        <v>23</v>
      </c>
    </row>
    <row r="25" spans="1:15" x14ac:dyDescent="0.25">
      <c r="M25" s="9" t="s">
        <v>0</v>
      </c>
      <c r="N25" s="15" t="s">
        <v>1</v>
      </c>
      <c r="O25" s="10" t="s">
        <v>2</v>
      </c>
    </row>
    <row r="26" spans="1:15" x14ac:dyDescent="0.25">
      <c r="M26" s="11">
        <v>44743</v>
      </c>
      <c r="N26" s="3">
        <v>1203</v>
      </c>
      <c r="O26" s="16">
        <v>0.76392352452202827</v>
      </c>
    </row>
    <row r="27" spans="1:15" x14ac:dyDescent="0.25">
      <c r="M27" s="11">
        <v>44774</v>
      </c>
      <c r="N27" s="3">
        <v>2209</v>
      </c>
      <c r="O27" s="16">
        <v>0.77274784970574917</v>
      </c>
    </row>
    <row r="28" spans="1:15" x14ac:dyDescent="0.25">
      <c r="M28" s="11">
        <v>44805</v>
      </c>
      <c r="N28" s="3">
        <v>2233</v>
      </c>
      <c r="O28" s="16">
        <v>0.76802507836990597</v>
      </c>
    </row>
    <row r="29" spans="1:15" x14ac:dyDescent="0.25">
      <c r="M29" s="11">
        <v>44835</v>
      </c>
      <c r="N29" s="3">
        <v>2332</v>
      </c>
      <c r="O29" s="16">
        <v>0.77572898799313894</v>
      </c>
    </row>
    <row r="30" spans="1:15" x14ac:dyDescent="0.25">
      <c r="M30" s="11">
        <v>44866</v>
      </c>
      <c r="N30" s="3">
        <v>1688</v>
      </c>
      <c r="O30" s="16">
        <v>0.74229857819905209</v>
      </c>
    </row>
    <row r="31" spans="1:15" x14ac:dyDescent="0.25">
      <c r="M31" s="11">
        <v>44896</v>
      </c>
      <c r="N31" s="3">
        <v>935</v>
      </c>
      <c r="O31" s="16">
        <v>0.65454545454545454</v>
      </c>
    </row>
    <row r="32" spans="1:15" x14ac:dyDescent="0.25">
      <c r="M32" s="11">
        <v>44927</v>
      </c>
      <c r="N32" s="3">
        <v>2426</v>
      </c>
      <c r="O32" s="16">
        <v>0.73165704863973624</v>
      </c>
    </row>
    <row r="33" spans="1:15" x14ac:dyDescent="0.25">
      <c r="M33" s="11">
        <v>44958</v>
      </c>
      <c r="N33" s="3">
        <v>3383</v>
      </c>
      <c r="O33" s="16">
        <v>0.71800177357375106</v>
      </c>
    </row>
    <row r="34" spans="1:15" x14ac:dyDescent="0.25">
      <c r="M34" s="11">
        <v>44986</v>
      </c>
      <c r="N34" s="3">
        <v>5779</v>
      </c>
      <c r="O34" s="16">
        <v>0.67399204014535385</v>
      </c>
    </row>
    <row r="35" spans="1:15" x14ac:dyDescent="0.25">
      <c r="M35" s="13">
        <v>45017</v>
      </c>
      <c r="N35" s="17">
        <v>4973</v>
      </c>
      <c r="O35" s="18">
        <v>0.65212145586165293</v>
      </c>
    </row>
    <row r="36" spans="1:15" x14ac:dyDescent="0.25">
      <c r="M36" s="4" t="s">
        <v>41</v>
      </c>
    </row>
    <row r="45" spans="1:15" x14ac:dyDescent="0.25">
      <c r="A45" t="s">
        <v>6</v>
      </c>
    </row>
    <row r="50" spans="13:14" x14ac:dyDescent="0.25">
      <c r="M50" s="9" t="s">
        <v>0</v>
      </c>
      <c r="N50" s="10" t="s">
        <v>4</v>
      </c>
    </row>
    <row r="51" spans="13:14" x14ac:dyDescent="0.25">
      <c r="M51" s="11">
        <v>44743</v>
      </c>
      <c r="N51" s="19">
        <v>2.2188248095756289</v>
      </c>
    </row>
    <row r="52" spans="13:14" x14ac:dyDescent="0.25">
      <c r="M52" s="11">
        <v>44774</v>
      </c>
      <c r="N52" s="19">
        <v>2.3230326108182</v>
      </c>
    </row>
    <row r="53" spans="13:14" x14ac:dyDescent="0.25">
      <c r="M53" s="11">
        <v>44805</v>
      </c>
      <c r="N53" s="19">
        <v>2.276093294460638</v>
      </c>
    </row>
    <row r="54" spans="13:14" x14ac:dyDescent="0.25">
      <c r="M54" s="11">
        <v>44835</v>
      </c>
      <c r="N54" s="19">
        <v>2.3715035931453801</v>
      </c>
    </row>
    <row r="55" spans="13:14" x14ac:dyDescent="0.25">
      <c r="M55" s="11">
        <v>44866</v>
      </c>
      <c r="N55" s="19">
        <v>2.5163474328278816</v>
      </c>
    </row>
    <row r="56" spans="13:14" x14ac:dyDescent="0.25">
      <c r="M56" s="11">
        <v>44896</v>
      </c>
      <c r="N56" s="19">
        <v>2.7311819172113285</v>
      </c>
    </row>
    <row r="57" spans="13:14" x14ac:dyDescent="0.25">
      <c r="M57" s="11">
        <v>44927</v>
      </c>
      <c r="N57" s="19">
        <v>2.3998779342722956</v>
      </c>
    </row>
    <row r="58" spans="13:14" x14ac:dyDescent="0.25">
      <c r="M58" s="11">
        <v>44958</v>
      </c>
      <c r="N58" s="19">
        <v>2.2895430218196764</v>
      </c>
    </row>
    <row r="59" spans="13:14" x14ac:dyDescent="0.25">
      <c r="M59" s="11">
        <v>44986</v>
      </c>
      <c r="N59" s="19">
        <v>5.5359777492511801</v>
      </c>
    </row>
    <row r="60" spans="13:14" x14ac:dyDescent="0.25">
      <c r="M60" s="13">
        <v>45017</v>
      </c>
      <c r="N60" s="20">
        <v>2.3343766060232283</v>
      </c>
    </row>
    <row r="61" spans="13:14" x14ac:dyDescent="0.25">
      <c r="M61" s="4" t="s">
        <v>41</v>
      </c>
    </row>
    <row r="68" spans="1:25" x14ac:dyDescent="0.25">
      <c r="A68" t="s">
        <v>24</v>
      </c>
    </row>
    <row r="72" spans="1:25" x14ac:dyDescent="0.25">
      <c r="A72" s="2"/>
      <c r="H72" s="3"/>
    </row>
    <row r="73" spans="1:25" x14ac:dyDescent="0.25">
      <c r="A73" s="2"/>
      <c r="H73" s="3"/>
      <c r="M73" s="9" t="s">
        <v>0</v>
      </c>
      <c r="N73" s="15" t="s">
        <v>8</v>
      </c>
      <c r="O73" s="15" t="s">
        <v>9</v>
      </c>
      <c r="P73" s="15" t="s">
        <v>10</v>
      </c>
      <c r="Q73" s="15" t="s">
        <v>11</v>
      </c>
      <c r="R73" s="10" t="s">
        <v>12</v>
      </c>
    </row>
    <row r="74" spans="1:25" x14ac:dyDescent="0.25">
      <c r="A74" s="2"/>
      <c r="H74" s="3"/>
      <c r="M74" s="11">
        <v>44743</v>
      </c>
      <c r="N74" s="3">
        <v>11500</v>
      </c>
      <c r="O74" s="3">
        <v>12930</v>
      </c>
      <c r="P74" s="3">
        <v>14700</v>
      </c>
      <c r="Q74" s="3">
        <v>9485</v>
      </c>
      <c r="R74" s="12">
        <v>798</v>
      </c>
    </row>
    <row r="75" spans="1:25" x14ac:dyDescent="0.25">
      <c r="A75" s="2"/>
      <c r="H75" s="3"/>
      <c r="M75" s="11">
        <v>44774</v>
      </c>
      <c r="N75" s="3">
        <v>14750</v>
      </c>
      <c r="O75" s="3">
        <v>39170</v>
      </c>
      <c r="P75" s="3">
        <v>11900</v>
      </c>
      <c r="Q75" s="3">
        <v>11681</v>
      </c>
      <c r="R75" s="12">
        <v>1270</v>
      </c>
      <c r="Y75" s="1"/>
    </row>
    <row r="76" spans="1:25" x14ac:dyDescent="0.25">
      <c r="A76" s="2"/>
      <c r="H76" s="3"/>
      <c r="M76" s="11">
        <v>44805</v>
      </c>
      <c r="N76" s="3">
        <v>18500</v>
      </c>
      <c r="O76" s="3">
        <v>25580</v>
      </c>
      <c r="P76" s="3">
        <v>21800</v>
      </c>
      <c r="Q76" s="3">
        <v>5291</v>
      </c>
      <c r="R76" s="12">
        <v>2039</v>
      </c>
      <c r="Y76" s="1"/>
    </row>
    <row r="77" spans="1:25" x14ac:dyDescent="0.25">
      <c r="A77" s="2"/>
      <c r="H77" s="3"/>
      <c r="M77" s="11">
        <v>44835</v>
      </c>
      <c r="N77" s="3">
        <v>16250</v>
      </c>
      <c r="O77" s="3">
        <v>31280</v>
      </c>
      <c r="P77" s="3">
        <v>18800</v>
      </c>
      <c r="Q77" s="3">
        <v>9584</v>
      </c>
      <c r="R77" s="12">
        <v>599</v>
      </c>
      <c r="Y77" s="1"/>
    </row>
    <row r="78" spans="1:25" x14ac:dyDescent="0.25">
      <c r="A78" s="2"/>
      <c r="H78" s="3"/>
      <c r="M78" s="11">
        <v>44866</v>
      </c>
      <c r="N78" s="3">
        <v>22250</v>
      </c>
      <c r="O78" s="3">
        <v>24580</v>
      </c>
      <c r="P78" s="3">
        <v>20400</v>
      </c>
      <c r="Q78" s="3">
        <v>10782</v>
      </c>
      <c r="R78" s="12">
        <v>1807</v>
      </c>
      <c r="Y78" s="1"/>
    </row>
    <row r="79" spans="1:25" x14ac:dyDescent="0.25">
      <c r="A79" s="2"/>
      <c r="H79" s="3"/>
      <c r="M79" s="11">
        <v>44896</v>
      </c>
      <c r="N79" s="3">
        <v>11250</v>
      </c>
      <c r="O79" s="3">
        <v>26730</v>
      </c>
      <c r="P79" s="3">
        <v>18800</v>
      </c>
      <c r="Q79" s="3">
        <v>5691</v>
      </c>
      <c r="R79" s="12">
        <v>609</v>
      </c>
      <c r="Y79" s="1"/>
    </row>
    <row r="80" spans="1:25" x14ac:dyDescent="0.25">
      <c r="A80" s="2"/>
      <c r="H80" s="3"/>
      <c r="M80" s="11">
        <v>44927</v>
      </c>
      <c r="N80" s="3">
        <v>31000</v>
      </c>
      <c r="O80" s="3">
        <v>49300</v>
      </c>
      <c r="P80" s="3">
        <v>27000</v>
      </c>
      <c r="Q80" s="3">
        <v>15374</v>
      </c>
      <c r="R80" s="12">
        <v>4064</v>
      </c>
      <c r="Y80" s="1"/>
    </row>
    <row r="81" spans="1:25" x14ac:dyDescent="0.25">
      <c r="A81" s="2"/>
      <c r="H81" s="3"/>
      <c r="M81" s="11">
        <v>44958</v>
      </c>
      <c r="N81" s="3">
        <v>32500</v>
      </c>
      <c r="O81" s="3">
        <v>45180</v>
      </c>
      <c r="P81" s="3">
        <v>30200</v>
      </c>
      <c r="Q81" s="3">
        <v>15374</v>
      </c>
      <c r="R81" s="12">
        <v>1258</v>
      </c>
      <c r="Y81" s="1"/>
    </row>
    <row r="82" spans="1:25" x14ac:dyDescent="0.25">
      <c r="A82" s="2"/>
      <c r="M82" s="11">
        <v>44986</v>
      </c>
      <c r="N82" s="3">
        <v>49000</v>
      </c>
      <c r="O82" s="3">
        <v>106440</v>
      </c>
      <c r="P82" s="3">
        <v>46500</v>
      </c>
      <c r="Q82" s="3">
        <v>13578</v>
      </c>
      <c r="R82" s="12">
        <v>3670</v>
      </c>
      <c r="Y82" s="1"/>
    </row>
    <row r="83" spans="1:25" x14ac:dyDescent="0.25">
      <c r="A83" s="2"/>
      <c r="B83" s="3"/>
      <c r="D83" s="2"/>
      <c r="E83" s="3"/>
      <c r="F83" s="3"/>
      <c r="M83" s="13">
        <v>45017</v>
      </c>
      <c r="N83" s="17">
        <v>16750</v>
      </c>
      <c r="O83" s="17">
        <v>39800</v>
      </c>
      <c r="P83" s="17">
        <v>26500</v>
      </c>
      <c r="Q83" s="17">
        <v>10281</v>
      </c>
      <c r="R83" s="14">
        <v>1669</v>
      </c>
      <c r="Y83" s="1"/>
    </row>
    <row r="84" spans="1:25" x14ac:dyDescent="0.25">
      <c r="A84" s="2"/>
      <c r="B84" s="3"/>
      <c r="D84" s="2"/>
      <c r="E84" s="3"/>
      <c r="F84" s="3"/>
      <c r="M84" s="5" t="s">
        <v>42</v>
      </c>
      <c r="N84" s="6"/>
      <c r="Y84" s="1"/>
    </row>
    <row r="85" spans="1:25" x14ac:dyDescent="0.25">
      <c r="A85" s="2"/>
      <c r="B85" s="3"/>
      <c r="D85" s="2"/>
      <c r="E85" s="3"/>
      <c r="F85" s="3"/>
      <c r="Y85" s="1"/>
    </row>
    <row r="86" spans="1:25" x14ac:dyDescent="0.25">
      <c r="A86" s="2"/>
      <c r="B86" s="3"/>
      <c r="D86" s="2"/>
      <c r="E86" s="3"/>
      <c r="F86" s="3"/>
      <c r="M86" s="1"/>
      <c r="N86" s="3"/>
      <c r="Y86" s="1"/>
    </row>
    <row r="87" spans="1:25" x14ac:dyDescent="0.25">
      <c r="A87" s="2"/>
      <c r="B87" s="3"/>
      <c r="D87" s="2"/>
      <c r="E87" s="3"/>
      <c r="F87" s="3"/>
      <c r="M87" s="1"/>
      <c r="N87" s="3"/>
      <c r="Y87" s="1"/>
    </row>
    <row r="88" spans="1:25" x14ac:dyDescent="0.25">
      <c r="A88" s="2"/>
      <c r="B88" s="3"/>
      <c r="D88" s="2"/>
      <c r="E88" s="3"/>
      <c r="F88" s="3"/>
      <c r="M88" s="1"/>
      <c r="N88" s="3"/>
      <c r="Y88" s="1"/>
    </row>
    <row r="89" spans="1:25" x14ac:dyDescent="0.25">
      <c r="A89" s="2"/>
      <c r="B89" s="3"/>
      <c r="D89" s="2"/>
      <c r="E89" s="3"/>
      <c r="F89" s="3"/>
      <c r="M89" s="1"/>
      <c r="N89" s="3"/>
      <c r="Y89" s="1"/>
    </row>
    <row r="90" spans="1:25" x14ac:dyDescent="0.25">
      <c r="A90" s="2"/>
      <c r="B90" s="3"/>
      <c r="D90" s="2"/>
      <c r="E90" s="3"/>
      <c r="F90" s="3"/>
      <c r="M90" s="1"/>
      <c r="N90" s="3"/>
      <c r="Y90" s="1"/>
    </row>
    <row r="91" spans="1:25" x14ac:dyDescent="0.25">
      <c r="A91" s="1"/>
      <c r="D91" s="1"/>
      <c r="M91" s="1"/>
      <c r="N91" s="3"/>
      <c r="Y91" s="1"/>
    </row>
    <row r="92" spans="1:25" x14ac:dyDescent="0.25">
      <c r="C92" s="1" t="s">
        <v>13</v>
      </c>
      <c r="F92" s="1"/>
      <c r="M92" s="1"/>
      <c r="N92" s="3"/>
      <c r="Y92" s="1"/>
    </row>
    <row r="93" spans="1:25" x14ac:dyDescent="0.25">
      <c r="A93" s="1"/>
      <c r="M93" s="1"/>
      <c r="N93" s="3"/>
      <c r="Y93" s="1"/>
    </row>
    <row r="94" spans="1:25" x14ac:dyDescent="0.25">
      <c r="A94" s="2"/>
      <c r="B94" s="3"/>
      <c r="D94" s="2"/>
      <c r="E94" s="3"/>
      <c r="F94" s="3"/>
      <c r="M94" s="1"/>
      <c r="N94" s="3"/>
      <c r="Y94" s="1"/>
    </row>
    <row r="95" spans="1:25" x14ac:dyDescent="0.25">
      <c r="A95" s="2"/>
      <c r="B95" s="3"/>
      <c r="D95" s="2"/>
      <c r="E95" s="3"/>
      <c r="F95" s="3"/>
      <c r="M95" s="1"/>
      <c r="N95" s="3"/>
      <c r="Y95" s="1"/>
    </row>
    <row r="96" spans="1:25" x14ac:dyDescent="0.25">
      <c r="A96" s="2"/>
      <c r="B96" s="3"/>
      <c r="D96" s="2"/>
      <c r="E96" s="3"/>
      <c r="F96" s="3"/>
      <c r="Y96" s="1"/>
    </row>
    <row r="97" spans="1:25" x14ac:dyDescent="0.25">
      <c r="A97" s="2"/>
      <c r="B97" s="3"/>
      <c r="D97" s="2"/>
      <c r="E97" s="3"/>
      <c r="F97" s="3"/>
      <c r="M97" s="9" t="s">
        <v>0</v>
      </c>
      <c r="N97" s="15" t="s">
        <v>14</v>
      </c>
      <c r="O97" s="10" t="s">
        <v>7</v>
      </c>
      <c r="Y97" s="1"/>
    </row>
    <row r="98" spans="1:25" x14ac:dyDescent="0.25">
      <c r="A98" s="2"/>
      <c r="B98" s="3"/>
      <c r="D98" s="2"/>
      <c r="E98" s="3"/>
      <c r="F98" s="3"/>
      <c r="M98" s="11">
        <v>44743</v>
      </c>
      <c r="N98" s="21">
        <v>29</v>
      </c>
      <c r="O98" s="12">
        <v>4930</v>
      </c>
      <c r="Y98" s="1"/>
    </row>
    <row r="99" spans="1:25" x14ac:dyDescent="0.25">
      <c r="A99" s="2"/>
      <c r="B99" s="3"/>
      <c r="D99" s="2"/>
      <c r="E99" s="3"/>
      <c r="F99" s="3"/>
      <c r="M99" s="11">
        <v>44774</v>
      </c>
      <c r="N99" s="21">
        <v>31.5625</v>
      </c>
      <c r="O99" s="12">
        <v>17170</v>
      </c>
      <c r="Y99" s="1"/>
    </row>
    <row r="100" spans="1:25" x14ac:dyDescent="0.25">
      <c r="A100" s="2"/>
      <c r="B100" s="3"/>
      <c r="D100" s="2"/>
      <c r="E100" s="3"/>
      <c r="F100" s="3"/>
      <c r="M100" s="11">
        <v>44805</v>
      </c>
      <c r="N100" s="21">
        <v>32.173913043478258</v>
      </c>
      <c r="O100" s="12">
        <v>12580</v>
      </c>
      <c r="Y100" s="1"/>
    </row>
    <row r="101" spans="1:25" x14ac:dyDescent="0.25">
      <c r="A101" s="2"/>
      <c r="B101" s="3"/>
      <c r="D101" s="2"/>
      <c r="E101" s="3"/>
      <c r="F101" s="3"/>
      <c r="M101" s="11">
        <v>44835</v>
      </c>
      <c r="N101" s="21">
        <v>28</v>
      </c>
      <c r="O101" s="12">
        <v>14280</v>
      </c>
      <c r="Y101" s="1"/>
    </row>
    <row r="102" spans="1:25" x14ac:dyDescent="0.25">
      <c r="A102" s="2"/>
      <c r="B102" s="3"/>
      <c r="D102" s="2"/>
      <c r="E102" s="3"/>
      <c r="F102" s="3"/>
      <c r="M102" s="11">
        <v>44866</v>
      </c>
      <c r="N102" s="21">
        <v>29.6</v>
      </c>
      <c r="O102" s="12">
        <v>12580</v>
      </c>
      <c r="Y102" s="1"/>
    </row>
    <row r="103" spans="1:25" x14ac:dyDescent="0.25">
      <c r="A103" s="2"/>
      <c r="B103" s="3"/>
      <c r="D103" s="2"/>
      <c r="E103" s="3"/>
      <c r="F103" s="3"/>
      <c r="M103" s="11">
        <v>44896</v>
      </c>
      <c r="N103" s="21">
        <v>30</v>
      </c>
      <c r="O103" s="12">
        <v>11730</v>
      </c>
      <c r="Y103" s="1"/>
    </row>
    <row r="104" spans="1:25" x14ac:dyDescent="0.25">
      <c r="A104" s="2"/>
      <c r="B104" s="3"/>
      <c r="D104" s="2"/>
      <c r="E104" s="3"/>
      <c r="F104" s="3"/>
      <c r="M104" s="11">
        <v>44927</v>
      </c>
      <c r="N104" s="21">
        <v>19.117647058823529</v>
      </c>
      <c r="O104" s="12">
        <v>14300</v>
      </c>
      <c r="Y104" s="1"/>
    </row>
    <row r="105" spans="1:25" x14ac:dyDescent="0.25">
      <c r="A105" s="2"/>
      <c r="B105" s="3"/>
      <c r="D105" s="2"/>
      <c r="E105" s="3"/>
      <c r="F105" s="3"/>
      <c r="M105" s="11">
        <v>44958</v>
      </c>
      <c r="N105" s="21">
        <v>17.352941176470587</v>
      </c>
      <c r="O105" s="12">
        <v>12980</v>
      </c>
      <c r="Y105" s="1"/>
    </row>
    <row r="106" spans="1:25" x14ac:dyDescent="0.25">
      <c r="A106" s="2"/>
      <c r="B106" s="3"/>
      <c r="D106" s="2"/>
      <c r="E106" s="3"/>
      <c r="F106" s="3"/>
      <c r="M106" s="11">
        <v>44986</v>
      </c>
      <c r="N106" s="21">
        <v>22.051282051282051</v>
      </c>
      <c r="O106" s="12">
        <v>37840</v>
      </c>
      <c r="Y106" s="1"/>
    </row>
    <row r="107" spans="1:25" x14ac:dyDescent="0.25">
      <c r="A107" s="2"/>
      <c r="B107" s="3"/>
      <c r="D107" s="2"/>
      <c r="E107" s="3"/>
      <c r="F107" s="3"/>
      <c r="M107" s="13">
        <v>45017</v>
      </c>
      <c r="N107" s="22">
        <v>23.076923076923077</v>
      </c>
      <c r="O107" s="14">
        <v>13200</v>
      </c>
      <c r="Y107" s="1"/>
    </row>
    <row r="108" spans="1:25" x14ac:dyDescent="0.25">
      <c r="A108" s="2"/>
      <c r="B108" s="3"/>
      <c r="D108" s="2"/>
      <c r="E108" s="3"/>
      <c r="F108" s="3"/>
      <c r="M108" s="5" t="s">
        <v>42</v>
      </c>
      <c r="N108" s="6"/>
      <c r="Y108" s="1"/>
    </row>
    <row r="109" spans="1:25" x14ac:dyDescent="0.25">
      <c r="A109" s="2"/>
      <c r="B109" s="3"/>
      <c r="D109" s="2"/>
      <c r="E109" s="3"/>
      <c r="F109" s="3"/>
      <c r="Y109" s="1"/>
    </row>
    <row r="110" spans="1:25" x14ac:dyDescent="0.25">
      <c r="A110" s="2"/>
      <c r="B110" s="3"/>
      <c r="D110" s="2"/>
      <c r="E110" s="3"/>
      <c r="F110" s="3"/>
      <c r="M110" s="1"/>
      <c r="N110" s="3"/>
      <c r="Y110" s="1"/>
    </row>
    <row r="111" spans="1:25" x14ac:dyDescent="0.25">
      <c r="A111" s="2"/>
      <c r="B111" s="3"/>
      <c r="D111" s="2"/>
      <c r="E111" s="3"/>
      <c r="F111" s="3"/>
      <c r="M111" s="1"/>
      <c r="N111" s="3"/>
      <c r="Y111" s="1"/>
    </row>
    <row r="112" spans="1:25" x14ac:dyDescent="0.25">
      <c r="A112" s="2"/>
      <c r="B112" s="3"/>
      <c r="D112" s="2"/>
      <c r="E112" s="3"/>
      <c r="F112" s="3"/>
      <c r="M112" s="1"/>
      <c r="N112" s="3"/>
      <c r="Y112" s="1"/>
    </row>
    <row r="113" spans="1:25" x14ac:dyDescent="0.25">
      <c r="A113" s="2"/>
      <c r="B113" s="3"/>
      <c r="D113" s="2"/>
      <c r="E113" s="3"/>
      <c r="F113" s="3"/>
      <c r="M113" s="1"/>
      <c r="N113" s="3"/>
      <c r="Y113" s="1"/>
    </row>
    <row r="114" spans="1:25" x14ac:dyDescent="0.25">
      <c r="A114" s="2"/>
      <c r="B114" s="3"/>
      <c r="D114" s="2"/>
      <c r="E114" s="3"/>
      <c r="F114" s="3"/>
      <c r="M114" s="1"/>
      <c r="N114" s="3"/>
      <c r="Y114" s="1"/>
    </row>
    <row r="115" spans="1:25" x14ac:dyDescent="0.25">
      <c r="A115" s="2"/>
      <c r="B115" s="3"/>
      <c r="D115" s="2"/>
      <c r="E115" s="3"/>
      <c r="F115" s="3"/>
      <c r="M115" s="1"/>
      <c r="N115" s="3"/>
      <c r="Y115" s="1"/>
    </row>
    <row r="116" spans="1:25" x14ac:dyDescent="0.25">
      <c r="B116" s="1" t="s">
        <v>15</v>
      </c>
      <c r="E116" s="1"/>
      <c r="M116" s="1"/>
      <c r="N116" s="3"/>
      <c r="Y116" s="1"/>
    </row>
    <row r="117" spans="1:25" x14ac:dyDescent="0.25">
      <c r="A117" s="2"/>
      <c r="M117" s="1"/>
      <c r="N117" s="3"/>
      <c r="Y117" s="1"/>
    </row>
    <row r="118" spans="1:25" x14ac:dyDescent="0.25">
      <c r="A118" s="2"/>
      <c r="B118" s="3"/>
      <c r="M118" s="1"/>
      <c r="N118" s="3"/>
      <c r="Y118" s="1"/>
    </row>
    <row r="119" spans="1:25" x14ac:dyDescent="0.25">
      <c r="A119" s="2"/>
      <c r="B119" s="3"/>
      <c r="M119" s="1"/>
      <c r="N119" s="3"/>
      <c r="Y119" s="1"/>
    </row>
    <row r="120" spans="1:25" x14ac:dyDescent="0.25">
      <c r="A120" s="2"/>
      <c r="B120" s="3"/>
      <c r="Y120" s="1"/>
    </row>
    <row r="121" spans="1:25" x14ac:dyDescent="0.25">
      <c r="A121" s="2"/>
      <c r="B121" s="3"/>
      <c r="M121" s="9" t="s">
        <v>0</v>
      </c>
      <c r="N121" s="10" t="s">
        <v>16</v>
      </c>
      <c r="Y121" s="1"/>
    </row>
    <row r="122" spans="1:25" x14ac:dyDescent="0.25">
      <c r="A122" s="2"/>
      <c r="B122" s="3"/>
      <c r="M122" s="11">
        <v>44743</v>
      </c>
      <c r="N122" s="12">
        <v>77</v>
      </c>
      <c r="Y122" s="1"/>
    </row>
    <row r="123" spans="1:25" x14ac:dyDescent="0.25">
      <c r="A123" s="2"/>
      <c r="B123" s="3"/>
      <c r="M123" s="11">
        <v>44774</v>
      </c>
      <c r="N123" s="12">
        <v>148</v>
      </c>
      <c r="Y123" s="1"/>
    </row>
    <row r="124" spans="1:25" x14ac:dyDescent="0.25">
      <c r="A124" s="2"/>
      <c r="B124" s="3"/>
      <c r="M124" s="11">
        <v>44805</v>
      </c>
      <c r="N124" s="12">
        <v>142</v>
      </c>
      <c r="Y124" s="1"/>
    </row>
    <row r="125" spans="1:25" x14ac:dyDescent="0.25">
      <c r="A125" s="2"/>
      <c r="B125" s="3"/>
      <c r="M125" s="11">
        <v>44835</v>
      </c>
      <c r="N125" s="12">
        <v>133</v>
      </c>
    </row>
    <row r="126" spans="1:25" x14ac:dyDescent="0.25">
      <c r="A126" s="2"/>
      <c r="B126" s="3"/>
      <c r="M126" s="11">
        <v>44866</v>
      </c>
      <c r="N126" s="12">
        <v>158</v>
      </c>
    </row>
    <row r="127" spans="1:25" x14ac:dyDescent="0.25">
      <c r="A127" s="2"/>
      <c r="B127" s="3"/>
      <c r="M127" s="11">
        <v>44896</v>
      </c>
      <c r="N127" s="12">
        <v>154</v>
      </c>
    </row>
    <row r="128" spans="1:25" x14ac:dyDescent="0.25">
      <c r="A128" s="2"/>
      <c r="B128" s="3"/>
      <c r="M128" s="11">
        <v>44927</v>
      </c>
      <c r="N128" s="12">
        <v>213</v>
      </c>
    </row>
    <row r="129" spans="1:15" x14ac:dyDescent="0.25">
      <c r="A129" s="2"/>
      <c r="B129" s="3"/>
      <c r="M129" s="11">
        <v>44958</v>
      </c>
      <c r="N129" s="12">
        <v>250</v>
      </c>
    </row>
    <row r="130" spans="1:15" x14ac:dyDescent="0.25">
      <c r="A130" s="2"/>
      <c r="B130" s="3"/>
      <c r="M130" s="11">
        <v>44986</v>
      </c>
      <c r="N130" s="12">
        <v>532</v>
      </c>
    </row>
    <row r="131" spans="1:15" x14ac:dyDescent="0.25">
      <c r="A131" s="2"/>
      <c r="B131" s="3"/>
      <c r="M131" s="13">
        <v>45017</v>
      </c>
      <c r="N131" s="14">
        <v>341</v>
      </c>
    </row>
    <row r="132" spans="1:15" x14ac:dyDescent="0.25">
      <c r="A132" s="2"/>
      <c r="B132" s="3"/>
      <c r="M132" s="7" t="s">
        <v>43</v>
      </c>
      <c r="N132" s="7"/>
    </row>
    <row r="133" spans="1:15" x14ac:dyDescent="0.25">
      <c r="A133" s="2"/>
      <c r="B133" s="3"/>
      <c r="O133" s="7"/>
    </row>
    <row r="134" spans="1:15" x14ac:dyDescent="0.25">
      <c r="A134" s="2"/>
      <c r="B134" s="3"/>
    </row>
    <row r="135" spans="1:15" x14ac:dyDescent="0.25">
      <c r="A135" s="2"/>
      <c r="B135" s="3"/>
    </row>
    <row r="136" spans="1:15" x14ac:dyDescent="0.25">
      <c r="A136" s="2"/>
      <c r="B136" s="3"/>
    </row>
    <row r="137" spans="1:15" x14ac:dyDescent="0.25">
      <c r="A137" s="2"/>
      <c r="B137" s="3"/>
    </row>
    <row r="138" spans="1:15" x14ac:dyDescent="0.25">
      <c r="A138" s="2"/>
      <c r="B138" s="3"/>
    </row>
    <row r="139" spans="1:15" x14ac:dyDescent="0.25">
      <c r="A139" s="2"/>
      <c r="B139" s="3"/>
    </row>
    <row r="140" spans="1:15" x14ac:dyDescent="0.25">
      <c r="B140" s="1" t="s">
        <v>17</v>
      </c>
    </row>
    <row r="141" spans="1:15" x14ac:dyDescent="0.25">
      <c r="A141" s="2"/>
    </row>
    <row r="142" spans="1:15" x14ac:dyDescent="0.25">
      <c r="A142" s="2"/>
      <c r="B142" s="3"/>
    </row>
    <row r="143" spans="1:15" x14ac:dyDescent="0.25">
      <c r="A143" s="2"/>
      <c r="B143" s="3"/>
    </row>
    <row r="144" spans="1:15" x14ac:dyDescent="0.25">
      <c r="A144" s="2"/>
      <c r="B144" s="3"/>
    </row>
    <row r="145" spans="1:15" x14ac:dyDescent="0.25">
      <c r="A145" s="2"/>
      <c r="B145" s="3"/>
      <c r="M145" s="9" t="s">
        <v>0</v>
      </c>
      <c r="N145" s="10" t="s">
        <v>16</v>
      </c>
    </row>
    <row r="146" spans="1:15" x14ac:dyDescent="0.25">
      <c r="A146" s="2"/>
      <c r="B146" s="3"/>
      <c r="M146" s="11">
        <v>44743</v>
      </c>
      <c r="N146" s="12">
        <v>30</v>
      </c>
    </row>
    <row r="147" spans="1:15" x14ac:dyDescent="0.25">
      <c r="A147" s="2"/>
      <c r="B147" s="3"/>
      <c r="M147" s="11">
        <v>44774</v>
      </c>
      <c r="N147" s="12">
        <v>52</v>
      </c>
    </row>
    <row r="148" spans="1:15" x14ac:dyDescent="0.25">
      <c r="A148" s="2"/>
      <c r="B148" s="3"/>
      <c r="M148" s="11">
        <v>44805</v>
      </c>
      <c r="N148" s="12">
        <v>49</v>
      </c>
    </row>
    <row r="149" spans="1:15" x14ac:dyDescent="0.25">
      <c r="A149" s="2"/>
      <c r="B149" s="3"/>
      <c r="M149" s="11">
        <v>44835</v>
      </c>
      <c r="N149" s="12">
        <v>61</v>
      </c>
    </row>
    <row r="150" spans="1:15" x14ac:dyDescent="0.25">
      <c r="A150" s="2"/>
      <c r="B150" s="3"/>
      <c r="M150" s="11">
        <v>44866</v>
      </c>
      <c r="N150" s="12">
        <v>67</v>
      </c>
    </row>
    <row r="151" spans="1:15" x14ac:dyDescent="0.25">
      <c r="A151" s="2"/>
      <c r="B151" s="3"/>
      <c r="M151" s="11">
        <v>44896</v>
      </c>
      <c r="N151" s="12">
        <v>57</v>
      </c>
    </row>
    <row r="152" spans="1:15" x14ac:dyDescent="0.25">
      <c r="A152" s="2"/>
      <c r="B152" s="3"/>
      <c r="M152" s="11">
        <v>44927</v>
      </c>
      <c r="N152" s="12">
        <v>78</v>
      </c>
    </row>
    <row r="153" spans="1:15" x14ac:dyDescent="0.25">
      <c r="A153" s="2"/>
      <c r="B153" s="3"/>
      <c r="M153" s="11">
        <v>44958</v>
      </c>
      <c r="N153" s="12">
        <v>111</v>
      </c>
    </row>
    <row r="154" spans="1:15" x14ac:dyDescent="0.25">
      <c r="A154" s="2"/>
      <c r="B154" s="3"/>
      <c r="M154" s="11">
        <v>44986</v>
      </c>
      <c r="N154" s="12">
        <v>230</v>
      </c>
    </row>
    <row r="155" spans="1:15" x14ac:dyDescent="0.25">
      <c r="A155" s="2"/>
      <c r="B155" s="3"/>
      <c r="M155" s="13">
        <v>45017</v>
      </c>
      <c r="N155" s="14">
        <v>159</v>
      </c>
    </row>
    <row r="156" spans="1:15" x14ac:dyDescent="0.25">
      <c r="A156" s="2"/>
      <c r="B156" s="3"/>
      <c r="M156" s="7" t="s">
        <v>44</v>
      </c>
      <c r="N156" s="7"/>
      <c r="O156" s="7"/>
    </row>
    <row r="157" spans="1:15" x14ac:dyDescent="0.25">
      <c r="A157" s="2"/>
      <c r="B157" s="3"/>
    </row>
    <row r="158" spans="1:15" x14ac:dyDescent="0.25">
      <c r="A158" s="2"/>
      <c r="B158" s="3"/>
    </row>
    <row r="159" spans="1:15" x14ac:dyDescent="0.25">
      <c r="A159" s="2"/>
      <c r="B159" s="3"/>
    </row>
    <row r="160" spans="1:15" x14ac:dyDescent="0.25">
      <c r="A160" s="2"/>
      <c r="B160" s="3"/>
    </row>
    <row r="161" spans="1:14" x14ac:dyDescent="0.25">
      <c r="A161" s="2"/>
      <c r="B161" s="3"/>
    </row>
    <row r="162" spans="1:14" x14ac:dyDescent="0.25">
      <c r="A162" s="2"/>
      <c r="B162" s="3"/>
    </row>
    <row r="163" spans="1:14" x14ac:dyDescent="0.25">
      <c r="A163" s="2"/>
      <c r="B163" s="3"/>
    </row>
    <row r="164" spans="1:14" x14ac:dyDescent="0.25">
      <c r="A164" s="2"/>
      <c r="B164" s="1" t="s">
        <v>18</v>
      </c>
    </row>
    <row r="165" spans="1:14" x14ac:dyDescent="0.25">
      <c r="A165" s="2"/>
    </row>
    <row r="166" spans="1:14" x14ac:dyDescent="0.25">
      <c r="A166" s="2"/>
      <c r="B166" s="3"/>
    </row>
    <row r="167" spans="1:14" x14ac:dyDescent="0.25">
      <c r="A167" s="2"/>
      <c r="B167" s="3"/>
    </row>
    <row r="168" spans="1:14" x14ac:dyDescent="0.25">
      <c r="A168" s="2"/>
      <c r="B168" s="3"/>
    </row>
    <row r="169" spans="1:14" x14ac:dyDescent="0.25">
      <c r="A169" s="2"/>
      <c r="B169" s="3"/>
      <c r="M169" s="9" t="s">
        <v>0</v>
      </c>
      <c r="N169" s="10" t="s">
        <v>16</v>
      </c>
    </row>
    <row r="170" spans="1:14" x14ac:dyDescent="0.25">
      <c r="A170" s="2"/>
      <c r="B170" s="3"/>
      <c r="M170" s="11">
        <v>44743</v>
      </c>
      <c r="N170" s="12">
        <v>11</v>
      </c>
    </row>
    <row r="171" spans="1:14" x14ac:dyDescent="0.25">
      <c r="A171" s="2"/>
      <c r="B171" s="3"/>
      <c r="M171" s="11">
        <v>44774</v>
      </c>
      <c r="N171" s="12">
        <v>18</v>
      </c>
    </row>
    <row r="172" spans="1:14" x14ac:dyDescent="0.25">
      <c r="A172" s="2"/>
      <c r="B172" s="3"/>
      <c r="M172" s="11">
        <v>44805</v>
      </c>
      <c r="N172" s="12">
        <v>17</v>
      </c>
    </row>
    <row r="173" spans="1:14" x14ac:dyDescent="0.25">
      <c r="A173" s="2"/>
      <c r="B173" s="3"/>
      <c r="M173" s="11">
        <v>44835</v>
      </c>
      <c r="N173" s="12">
        <v>18</v>
      </c>
    </row>
    <row r="174" spans="1:14" x14ac:dyDescent="0.25">
      <c r="A174" s="2"/>
      <c r="B174" s="3"/>
      <c r="M174" s="11">
        <v>44866</v>
      </c>
      <c r="N174" s="12">
        <v>25</v>
      </c>
    </row>
    <row r="175" spans="1:14" x14ac:dyDescent="0.25">
      <c r="A175" s="2"/>
      <c r="B175" s="3"/>
      <c r="M175" s="11">
        <v>44896</v>
      </c>
      <c r="N175" s="12">
        <v>26</v>
      </c>
    </row>
    <row r="176" spans="1:14" x14ac:dyDescent="0.25">
      <c r="A176" s="2"/>
      <c r="B176" s="3"/>
      <c r="M176" s="11">
        <v>44927</v>
      </c>
      <c r="N176" s="12">
        <v>27</v>
      </c>
    </row>
    <row r="177" spans="1:15" x14ac:dyDescent="0.25">
      <c r="A177" s="2"/>
      <c r="B177" s="3"/>
      <c r="M177" s="11">
        <v>44958</v>
      </c>
      <c r="N177" s="12">
        <v>35</v>
      </c>
    </row>
    <row r="178" spans="1:15" x14ac:dyDescent="0.25">
      <c r="A178" s="2"/>
      <c r="B178" s="3"/>
      <c r="M178" s="11">
        <v>44986</v>
      </c>
      <c r="N178" s="12">
        <v>76</v>
      </c>
    </row>
    <row r="179" spans="1:15" x14ac:dyDescent="0.25">
      <c r="A179" s="2"/>
      <c r="B179" s="3"/>
      <c r="M179" s="13">
        <v>45017</v>
      </c>
      <c r="N179" s="14">
        <v>52</v>
      </c>
    </row>
    <row r="180" spans="1:15" x14ac:dyDescent="0.25">
      <c r="A180" s="2"/>
      <c r="B180" s="3"/>
      <c r="M180" s="7" t="s">
        <v>45</v>
      </c>
      <c r="N180" s="7"/>
      <c r="O180" s="7"/>
    </row>
    <row r="181" spans="1:15" x14ac:dyDescent="0.25">
      <c r="A181" s="2"/>
      <c r="B181" s="3"/>
    </row>
    <row r="182" spans="1:15" x14ac:dyDescent="0.25">
      <c r="A182" s="2"/>
      <c r="B182" s="3"/>
    </row>
    <row r="183" spans="1:15" x14ac:dyDescent="0.25">
      <c r="A183" s="2"/>
      <c r="B183" s="3"/>
    </row>
    <row r="184" spans="1:15" x14ac:dyDescent="0.25">
      <c r="A184" s="2"/>
      <c r="B184" s="3"/>
    </row>
    <row r="185" spans="1:15" x14ac:dyDescent="0.25">
      <c r="A185" s="2"/>
      <c r="B185" s="3"/>
    </row>
    <row r="186" spans="1:15" x14ac:dyDescent="0.25">
      <c r="A186" s="2"/>
      <c r="B186" s="3"/>
    </row>
    <row r="187" spans="1:15" x14ac:dyDescent="0.25">
      <c r="A187" s="2"/>
      <c r="B187" s="3"/>
    </row>
    <row r="188" spans="1:15" x14ac:dyDescent="0.25">
      <c r="A188" s="8" t="s">
        <v>19</v>
      </c>
      <c r="B188" s="3"/>
    </row>
    <row r="189" spans="1:15" x14ac:dyDescent="0.25">
      <c r="A189" s="1" t="s">
        <v>20</v>
      </c>
    </row>
    <row r="191" spans="1:15" x14ac:dyDescent="0.25">
      <c r="A191" s="2"/>
      <c r="B191" s="3"/>
    </row>
    <row r="192" spans="1:15" x14ac:dyDescent="0.25">
      <c r="A192" s="2"/>
      <c r="B192" s="3"/>
    </row>
    <row r="193" spans="1:16" x14ac:dyDescent="0.25">
      <c r="A193" s="2"/>
      <c r="B193" s="3"/>
    </row>
    <row r="194" spans="1:16" x14ac:dyDescent="0.25">
      <c r="A194" s="2"/>
      <c r="B194" s="3"/>
      <c r="M194" s="9" t="s">
        <v>0</v>
      </c>
      <c r="N194" s="10" t="s">
        <v>16</v>
      </c>
    </row>
    <row r="195" spans="1:16" x14ac:dyDescent="0.25">
      <c r="A195" s="2"/>
      <c r="B195" s="3"/>
      <c r="M195" s="11">
        <v>44743</v>
      </c>
      <c r="N195" s="12">
        <v>96</v>
      </c>
    </row>
    <row r="196" spans="1:16" x14ac:dyDescent="0.25">
      <c r="A196" s="2"/>
      <c r="B196" s="3"/>
      <c r="M196" s="11">
        <v>44774</v>
      </c>
      <c r="N196" s="12">
        <v>182</v>
      </c>
    </row>
    <row r="197" spans="1:16" x14ac:dyDescent="0.25">
      <c r="A197" s="2"/>
      <c r="B197" s="3"/>
      <c r="M197" s="11">
        <v>44805</v>
      </c>
      <c r="N197" s="12">
        <v>174</v>
      </c>
    </row>
    <row r="198" spans="1:16" x14ac:dyDescent="0.25">
      <c r="A198" s="2"/>
      <c r="B198" s="3"/>
      <c r="M198" s="11">
        <v>44835</v>
      </c>
      <c r="N198" s="12">
        <v>176</v>
      </c>
    </row>
    <row r="199" spans="1:16" x14ac:dyDescent="0.25">
      <c r="A199" s="2"/>
      <c r="B199" s="3"/>
      <c r="M199" s="11">
        <v>44866</v>
      </c>
      <c r="N199" s="12">
        <v>200</v>
      </c>
    </row>
    <row r="200" spans="1:16" x14ac:dyDescent="0.25">
      <c r="A200" s="2"/>
      <c r="B200" s="3"/>
      <c r="M200" s="11">
        <v>44896</v>
      </c>
      <c r="N200" s="12">
        <v>185</v>
      </c>
    </row>
    <row r="201" spans="1:16" x14ac:dyDescent="0.25">
      <c r="A201" s="2"/>
      <c r="B201" s="3"/>
      <c r="M201" s="11">
        <v>44927</v>
      </c>
      <c r="N201" s="12">
        <v>264</v>
      </c>
    </row>
    <row r="202" spans="1:16" x14ac:dyDescent="0.25">
      <c r="A202" s="2"/>
      <c r="B202" s="3"/>
      <c r="M202" s="11">
        <v>44958</v>
      </c>
      <c r="N202" s="12">
        <v>326</v>
      </c>
    </row>
    <row r="203" spans="1:16" x14ac:dyDescent="0.25">
      <c r="A203" s="2"/>
      <c r="B203" s="3"/>
      <c r="M203" s="11">
        <v>44986</v>
      </c>
      <c r="N203" s="12">
        <v>686</v>
      </c>
    </row>
    <row r="204" spans="1:16" x14ac:dyDescent="0.25">
      <c r="A204" s="2"/>
      <c r="B204" s="3"/>
      <c r="M204" s="13">
        <v>45017</v>
      </c>
      <c r="N204" s="14">
        <v>448</v>
      </c>
    </row>
    <row r="205" spans="1:16" x14ac:dyDescent="0.25">
      <c r="A205" s="2"/>
      <c r="B205" s="3"/>
      <c r="M205" s="7" t="s">
        <v>45</v>
      </c>
      <c r="N205" s="7"/>
      <c r="O205" s="7"/>
      <c r="P205" s="7"/>
    </row>
    <row r="206" spans="1:16" x14ac:dyDescent="0.25">
      <c r="A206" s="2"/>
      <c r="B206" s="3"/>
    </row>
    <row r="207" spans="1:16" x14ac:dyDescent="0.25">
      <c r="A207" s="2"/>
      <c r="B207" s="3"/>
    </row>
    <row r="208" spans="1:16" x14ac:dyDescent="0.25">
      <c r="A208" s="2"/>
      <c r="B208" s="3"/>
    </row>
    <row r="209" spans="1:31" x14ac:dyDescent="0.25">
      <c r="A209" s="2"/>
      <c r="B209" s="3"/>
    </row>
    <row r="210" spans="1:31" x14ac:dyDescent="0.25">
      <c r="A210" s="2"/>
      <c r="B210" s="3"/>
    </row>
    <row r="211" spans="1:31" x14ac:dyDescent="0.25">
      <c r="A211" s="2"/>
      <c r="B211" s="3"/>
    </row>
    <row r="212" spans="1:31" x14ac:dyDescent="0.25">
      <c r="A212" s="1"/>
    </row>
    <row r="213" spans="1:31" x14ac:dyDescent="0.25">
      <c r="A213" s="8" t="s">
        <v>21</v>
      </c>
      <c r="B213" s="3"/>
    </row>
    <row r="214" spans="1:31" x14ac:dyDescent="0.25">
      <c r="A214" s="1" t="s">
        <v>22</v>
      </c>
    </row>
    <row r="216" spans="1:31" x14ac:dyDescent="0.25">
      <c r="A216" s="1"/>
    </row>
    <row r="217" spans="1:31" x14ac:dyDescent="0.25">
      <c r="A217" s="2"/>
      <c r="B217" s="3"/>
    </row>
    <row r="218" spans="1:31" x14ac:dyDescent="0.25">
      <c r="A218" s="2"/>
      <c r="B218" s="3"/>
      <c r="M218" s="9" t="s">
        <v>31</v>
      </c>
      <c r="N218" s="10" t="s">
        <v>32</v>
      </c>
      <c r="P218" s="9" t="s">
        <v>33</v>
      </c>
      <c r="Q218" s="15" t="s">
        <v>34</v>
      </c>
      <c r="R218" s="10" t="s">
        <v>32</v>
      </c>
      <c r="T218" s="9" t="s">
        <v>35</v>
      </c>
      <c r="U218" s="15" t="s">
        <v>36</v>
      </c>
      <c r="V218" s="10" t="s">
        <v>32</v>
      </c>
      <c r="X218" s="9" t="s">
        <v>29</v>
      </c>
      <c r="Y218" s="15" t="s">
        <v>30</v>
      </c>
      <c r="Z218" s="15" t="s">
        <v>25</v>
      </c>
      <c r="AA218" s="15" t="s">
        <v>26</v>
      </c>
      <c r="AB218" s="15" t="s">
        <v>27</v>
      </c>
      <c r="AC218" s="15" t="s">
        <v>28</v>
      </c>
      <c r="AD218" s="15" t="s">
        <v>37</v>
      </c>
      <c r="AE218" s="10" t="s">
        <v>38</v>
      </c>
    </row>
    <row r="219" spans="1:31" x14ac:dyDescent="0.25">
      <c r="A219" s="2"/>
      <c r="B219" s="3"/>
      <c r="M219" s="23">
        <v>44744</v>
      </c>
      <c r="N219" s="12">
        <v>3</v>
      </c>
      <c r="P219" s="23">
        <v>44739</v>
      </c>
      <c r="Q219" s="25">
        <f t="shared" ref="Q219:Q262" si="0">_xlfn.ISOWEEKNUM(P219)</f>
        <v>26</v>
      </c>
      <c r="R219" s="12">
        <v>6</v>
      </c>
      <c r="T219" s="26">
        <f t="shared" ref="T219:T228" si="1">MONTH(U219)</f>
        <v>7</v>
      </c>
      <c r="U219" s="27">
        <v>44743</v>
      </c>
      <c r="V219" s="12">
        <v>193</v>
      </c>
      <c r="X219" s="26">
        <f>MONTH(Z219)</f>
        <v>7</v>
      </c>
      <c r="Y219" s="25">
        <f>_xlfn.ISOWEEKNUM(Z219)</f>
        <v>26</v>
      </c>
      <c r="Z219" s="30">
        <v>44744</v>
      </c>
      <c r="AA219" s="25">
        <v>3</v>
      </c>
      <c r="AB219" s="25">
        <f t="shared" ref="AB219:AB282" si="2">VLOOKUP(Y219,Q:R,2,0)</f>
        <v>6</v>
      </c>
      <c r="AC219" s="25">
        <f t="shared" ref="AC219:AC282" si="3">VLOOKUP(X219,T:V,3,0)</f>
        <v>193</v>
      </c>
      <c r="AD219" s="31">
        <f>AA219/AB219</f>
        <v>0.5</v>
      </c>
      <c r="AE219" s="32">
        <f>AA219/AC219</f>
        <v>1.5544041450777202E-2</v>
      </c>
    </row>
    <row r="220" spans="1:31" x14ac:dyDescent="0.25">
      <c r="A220" s="2"/>
      <c r="B220" s="3"/>
      <c r="M220" s="23">
        <v>44745</v>
      </c>
      <c r="N220" s="12">
        <v>6</v>
      </c>
      <c r="P220" s="23">
        <v>44746</v>
      </c>
      <c r="Q220" s="25">
        <f t="shared" si="0"/>
        <v>27</v>
      </c>
      <c r="R220" s="12">
        <v>59</v>
      </c>
      <c r="T220" s="26">
        <f t="shared" si="1"/>
        <v>8</v>
      </c>
      <c r="U220" s="27">
        <v>44774</v>
      </c>
      <c r="V220" s="12">
        <v>366</v>
      </c>
      <c r="X220" s="26">
        <f t="shared" ref="X220:X283" si="4">MONTH(Z220)</f>
        <v>7</v>
      </c>
      <c r="Y220" s="25">
        <f t="shared" ref="Y220:Y283" si="5">_xlfn.ISOWEEKNUM(Z220)</f>
        <v>26</v>
      </c>
      <c r="Z220" s="30">
        <v>44745</v>
      </c>
      <c r="AA220" s="25">
        <v>6</v>
      </c>
      <c r="AB220" s="25">
        <f t="shared" si="2"/>
        <v>6</v>
      </c>
      <c r="AC220" s="25">
        <f t="shared" si="3"/>
        <v>193</v>
      </c>
      <c r="AD220" s="31">
        <f t="shared" ref="AD220:AD283" si="6">AA220/AB220</f>
        <v>1</v>
      </c>
      <c r="AE220" s="32">
        <f t="shared" ref="AE220:AE283" si="7">AA220/AC220</f>
        <v>3.1088082901554404E-2</v>
      </c>
    </row>
    <row r="221" spans="1:31" x14ac:dyDescent="0.25">
      <c r="A221" s="2"/>
      <c r="B221" s="3"/>
      <c r="M221" s="23">
        <v>44746</v>
      </c>
      <c r="N221" s="12">
        <v>5</v>
      </c>
      <c r="P221" s="23">
        <v>44753</v>
      </c>
      <c r="Q221" s="25">
        <f t="shared" si="0"/>
        <v>28</v>
      </c>
      <c r="R221" s="12">
        <v>92</v>
      </c>
      <c r="T221" s="26">
        <f t="shared" si="1"/>
        <v>9</v>
      </c>
      <c r="U221" s="27">
        <v>44805</v>
      </c>
      <c r="V221" s="12">
        <v>378</v>
      </c>
      <c r="X221" s="26">
        <f t="shared" si="4"/>
        <v>7</v>
      </c>
      <c r="Y221" s="25">
        <f t="shared" si="5"/>
        <v>27</v>
      </c>
      <c r="Z221" s="30">
        <v>44746</v>
      </c>
      <c r="AA221" s="25">
        <v>5</v>
      </c>
      <c r="AB221" s="25">
        <f t="shared" si="2"/>
        <v>59</v>
      </c>
      <c r="AC221" s="25">
        <f t="shared" si="3"/>
        <v>193</v>
      </c>
      <c r="AD221" s="31">
        <f t="shared" si="6"/>
        <v>8.4745762711864403E-2</v>
      </c>
      <c r="AE221" s="32">
        <f t="shared" si="7"/>
        <v>2.5906735751295335E-2</v>
      </c>
    </row>
    <row r="222" spans="1:31" x14ac:dyDescent="0.25">
      <c r="A222" s="2"/>
      <c r="B222" s="3"/>
      <c r="M222" s="23">
        <v>44747</v>
      </c>
      <c r="N222" s="12">
        <v>10</v>
      </c>
      <c r="P222" s="23">
        <v>44760</v>
      </c>
      <c r="Q222" s="25">
        <f t="shared" si="0"/>
        <v>29</v>
      </c>
      <c r="R222" s="12">
        <v>133</v>
      </c>
      <c r="T222" s="26">
        <f t="shared" si="1"/>
        <v>10</v>
      </c>
      <c r="U222" s="27">
        <v>44835</v>
      </c>
      <c r="V222" s="12">
        <v>393</v>
      </c>
      <c r="X222" s="26">
        <f t="shared" si="4"/>
        <v>7</v>
      </c>
      <c r="Y222" s="25">
        <f t="shared" si="5"/>
        <v>27</v>
      </c>
      <c r="Z222" s="30">
        <v>44747</v>
      </c>
      <c r="AA222" s="25">
        <v>10</v>
      </c>
      <c r="AB222" s="25">
        <f t="shared" si="2"/>
        <v>59</v>
      </c>
      <c r="AC222" s="25">
        <f t="shared" si="3"/>
        <v>193</v>
      </c>
      <c r="AD222" s="31">
        <f t="shared" si="6"/>
        <v>0.16949152542372881</v>
      </c>
      <c r="AE222" s="32">
        <f t="shared" si="7"/>
        <v>5.181347150259067E-2</v>
      </c>
    </row>
    <row r="223" spans="1:31" x14ac:dyDescent="0.25">
      <c r="A223" s="2"/>
      <c r="B223" s="3"/>
      <c r="M223" s="23">
        <v>44748</v>
      </c>
      <c r="N223" s="12">
        <v>5</v>
      </c>
      <c r="P223" s="23">
        <v>44767</v>
      </c>
      <c r="Q223" s="25">
        <f t="shared" si="0"/>
        <v>30</v>
      </c>
      <c r="R223" s="12">
        <v>183</v>
      </c>
      <c r="T223" s="26">
        <f t="shared" si="1"/>
        <v>11</v>
      </c>
      <c r="U223" s="27">
        <v>44866</v>
      </c>
      <c r="V223" s="12">
        <v>426</v>
      </c>
      <c r="X223" s="26">
        <f t="shared" si="4"/>
        <v>7</v>
      </c>
      <c r="Y223" s="25">
        <f t="shared" si="5"/>
        <v>27</v>
      </c>
      <c r="Z223" s="30">
        <v>44748</v>
      </c>
      <c r="AA223" s="25">
        <v>5</v>
      </c>
      <c r="AB223" s="25">
        <f t="shared" si="2"/>
        <v>59</v>
      </c>
      <c r="AC223" s="25">
        <f t="shared" si="3"/>
        <v>193</v>
      </c>
      <c r="AD223" s="31">
        <f t="shared" si="6"/>
        <v>8.4745762711864403E-2</v>
      </c>
      <c r="AE223" s="32">
        <f t="shared" si="7"/>
        <v>2.5906735751295335E-2</v>
      </c>
    </row>
    <row r="224" spans="1:31" x14ac:dyDescent="0.25">
      <c r="A224" s="2"/>
      <c r="B224" s="3"/>
      <c r="M224" s="23">
        <v>44749</v>
      </c>
      <c r="N224" s="12">
        <v>13</v>
      </c>
      <c r="P224" s="23">
        <v>44774</v>
      </c>
      <c r="Q224" s="25">
        <f t="shared" si="0"/>
        <v>31</v>
      </c>
      <c r="R224" s="12">
        <v>202</v>
      </c>
      <c r="T224" s="26">
        <f t="shared" si="1"/>
        <v>12</v>
      </c>
      <c r="U224" s="27">
        <v>44896</v>
      </c>
      <c r="V224" s="12">
        <v>390</v>
      </c>
      <c r="X224" s="26">
        <f t="shared" si="4"/>
        <v>7</v>
      </c>
      <c r="Y224" s="25">
        <f t="shared" si="5"/>
        <v>27</v>
      </c>
      <c r="Z224" s="30">
        <v>44749</v>
      </c>
      <c r="AA224" s="25">
        <v>13</v>
      </c>
      <c r="AB224" s="25">
        <f t="shared" si="2"/>
        <v>59</v>
      </c>
      <c r="AC224" s="25">
        <f t="shared" si="3"/>
        <v>193</v>
      </c>
      <c r="AD224" s="31">
        <f t="shared" si="6"/>
        <v>0.22033898305084745</v>
      </c>
      <c r="AE224" s="32">
        <f t="shared" si="7"/>
        <v>6.7357512953367879E-2</v>
      </c>
    </row>
    <row r="225" spans="1:31" x14ac:dyDescent="0.25">
      <c r="A225" s="2"/>
      <c r="B225" s="3"/>
      <c r="M225" s="23">
        <v>44750</v>
      </c>
      <c r="N225" s="12">
        <v>22</v>
      </c>
      <c r="P225" s="23">
        <v>44781</v>
      </c>
      <c r="Q225" s="25">
        <f t="shared" si="0"/>
        <v>32</v>
      </c>
      <c r="R225" s="12">
        <v>193</v>
      </c>
      <c r="T225" s="26">
        <f t="shared" si="1"/>
        <v>1</v>
      </c>
      <c r="U225" s="27">
        <v>44927</v>
      </c>
      <c r="V225" s="12">
        <v>536</v>
      </c>
      <c r="X225" s="26">
        <f t="shared" si="4"/>
        <v>7</v>
      </c>
      <c r="Y225" s="25">
        <f t="shared" si="5"/>
        <v>27</v>
      </c>
      <c r="Z225" s="30">
        <v>44750</v>
      </c>
      <c r="AA225" s="25">
        <v>22</v>
      </c>
      <c r="AB225" s="25">
        <f t="shared" si="2"/>
        <v>59</v>
      </c>
      <c r="AC225" s="25">
        <f t="shared" si="3"/>
        <v>193</v>
      </c>
      <c r="AD225" s="31">
        <f t="shared" si="6"/>
        <v>0.3728813559322034</v>
      </c>
      <c r="AE225" s="32">
        <f t="shared" si="7"/>
        <v>0.11398963730569948</v>
      </c>
    </row>
    <row r="226" spans="1:31" x14ac:dyDescent="0.25">
      <c r="A226" s="2"/>
      <c r="B226" s="3"/>
      <c r="M226" s="23">
        <v>44751</v>
      </c>
      <c r="N226" s="12">
        <v>22</v>
      </c>
      <c r="P226" s="23">
        <v>44788</v>
      </c>
      <c r="Q226" s="25">
        <f t="shared" si="0"/>
        <v>33</v>
      </c>
      <c r="R226" s="12">
        <v>201</v>
      </c>
      <c r="T226" s="26">
        <f t="shared" si="1"/>
        <v>2</v>
      </c>
      <c r="U226" s="27">
        <v>44958</v>
      </c>
      <c r="V226" s="12">
        <v>696</v>
      </c>
      <c r="X226" s="26">
        <f t="shared" si="4"/>
        <v>7</v>
      </c>
      <c r="Y226" s="25">
        <f t="shared" si="5"/>
        <v>27</v>
      </c>
      <c r="Z226" s="30">
        <v>44751</v>
      </c>
      <c r="AA226" s="25">
        <v>22</v>
      </c>
      <c r="AB226" s="25">
        <f t="shared" si="2"/>
        <v>59</v>
      </c>
      <c r="AC226" s="25">
        <f t="shared" si="3"/>
        <v>193</v>
      </c>
      <c r="AD226" s="31">
        <f t="shared" si="6"/>
        <v>0.3728813559322034</v>
      </c>
      <c r="AE226" s="32">
        <f t="shared" si="7"/>
        <v>0.11398963730569948</v>
      </c>
    </row>
    <row r="227" spans="1:31" x14ac:dyDescent="0.25">
      <c r="A227" s="2"/>
      <c r="B227" s="3"/>
      <c r="M227" s="23">
        <v>44752</v>
      </c>
      <c r="N227" s="12">
        <v>26</v>
      </c>
      <c r="P227" s="23">
        <v>44795</v>
      </c>
      <c r="Q227" s="25">
        <f t="shared" si="0"/>
        <v>34</v>
      </c>
      <c r="R227" s="12">
        <v>206</v>
      </c>
      <c r="T227" s="26">
        <f t="shared" si="1"/>
        <v>3</v>
      </c>
      <c r="U227" s="27">
        <v>44986</v>
      </c>
      <c r="V227" s="12">
        <v>1544</v>
      </c>
      <c r="X227" s="26">
        <f t="shared" si="4"/>
        <v>7</v>
      </c>
      <c r="Y227" s="25">
        <f t="shared" si="5"/>
        <v>27</v>
      </c>
      <c r="Z227" s="30">
        <v>44752</v>
      </c>
      <c r="AA227" s="25">
        <v>26</v>
      </c>
      <c r="AB227" s="25">
        <f t="shared" si="2"/>
        <v>59</v>
      </c>
      <c r="AC227" s="25">
        <f t="shared" si="3"/>
        <v>193</v>
      </c>
      <c r="AD227" s="31">
        <f t="shared" si="6"/>
        <v>0.44067796610169491</v>
      </c>
      <c r="AE227" s="32">
        <f t="shared" si="7"/>
        <v>0.13471502590673576</v>
      </c>
    </row>
    <row r="228" spans="1:31" x14ac:dyDescent="0.25">
      <c r="A228" s="2"/>
      <c r="B228" s="3"/>
      <c r="M228" s="23">
        <v>44753</v>
      </c>
      <c r="N228" s="12">
        <v>23</v>
      </c>
      <c r="P228" s="23">
        <v>44802</v>
      </c>
      <c r="Q228" s="25">
        <f t="shared" si="0"/>
        <v>35</v>
      </c>
      <c r="R228" s="12">
        <v>192</v>
      </c>
      <c r="T228" s="28">
        <f t="shared" si="1"/>
        <v>4</v>
      </c>
      <c r="U228" s="29">
        <v>45017</v>
      </c>
      <c r="V228" s="14">
        <v>1027</v>
      </c>
      <c r="X228" s="26">
        <f t="shared" si="4"/>
        <v>7</v>
      </c>
      <c r="Y228" s="25">
        <f t="shared" si="5"/>
        <v>28</v>
      </c>
      <c r="Z228" s="30">
        <v>44753</v>
      </c>
      <c r="AA228" s="25">
        <v>23</v>
      </c>
      <c r="AB228" s="25">
        <f t="shared" si="2"/>
        <v>92</v>
      </c>
      <c r="AC228" s="25">
        <f t="shared" si="3"/>
        <v>193</v>
      </c>
      <c r="AD228" s="31">
        <f t="shared" si="6"/>
        <v>0.25</v>
      </c>
      <c r="AE228" s="32">
        <f t="shared" si="7"/>
        <v>0.11917098445595854</v>
      </c>
    </row>
    <row r="229" spans="1:31" x14ac:dyDescent="0.25">
      <c r="A229" s="2"/>
      <c r="B229" s="3"/>
      <c r="M229" s="23">
        <v>44754</v>
      </c>
      <c r="N229" s="12">
        <v>24</v>
      </c>
      <c r="P229" s="23">
        <v>44809</v>
      </c>
      <c r="Q229" s="25">
        <f t="shared" si="0"/>
        <v>36</v>
      </c>
      <c r="R229" s="12">
        <v>196</v>
      </c>
      <c r="X229" s="26">
        <f t="shared" si="4"/>
        <v>7</v>
      </c>
      <c r="Y229" s="25">
        <f t="shared" si="5"/>
        <v>28</v>
      </c>
      <c r="Z229" s="30">
        <v>44754</v>
      </c>
      <c r="AA229" s="25">
        <v>24</v>
      </c>
      <c r="AB229" s="25">
        <f t="shared" si="2"/>
        <v>92</v>
      </c>
      <c r="AC229" s="25">
        <f t="shared" si="3"/>
        <v>193</v>
      </c>
      <c r="AD229" s="31">
        <f t="shared" si="6"/>
        <v>0.2608695652173913</v>
      </c>
      <c r="AE229" s="32">
        <f t="shared" si="7"/>
        <v>0.12435233160621761</v>
      </c>
    </row>
    <row r="230" spans="1:31" x14ac:dyDescent="0.25">
      <c r="A230" s="2"/>
      <c r="B230" s="3"/>
      <c r="M230" s="23">
        <v>44755</v>
      </c>
      <c r="N230" s="12">
        <v>30</v>
      </c>
      <c r="P230" s="23">
        <v>44816</v>
      </c>
      <c r="Q230" s="25">
        <f t="shared" si="0"/>
        <v>37</v>
      </c>
      <c r="R230" s="12">
        <v>205</v>
      </c>
      <c r="T230" s="4"/>
      <c r="X230" s="26">
        <f t="shared" si="4"/>
        <v>7</v>
      </c>
      <c r="Y230" s="25">
        <f t="shared" si="5"/>
        <v>28</v>
      </c>
      <c r="Z230" s="30">
        <v>44755</v>
      </c>
      <c r="AA230" s="25">
        <v>30</v>
      </c>
      <c r="AB230" s="25">
        <f t="shared" si="2"/>
        <v>92</v>
      </c>
      <c r="AC230" s="25">
        <f t="shared" si="3"/>
        <v>193</v>
      </c>
      <c r="AD230" s="31">
        <f t="shared" si="6"/>
        <v>0.32608695652173914</v>
      </c>
      <c r="AE230" s="32">
        <f t="shared" si="7"/>
        <v>0.15544041450777202</v>
      </c>
    </row>
    <row r="231" spans="1:31" x14ac:dyDescent="0.25">
      <c r="A231" s="2"/>
      <c r="B231" s="3"/>
      <c r="M231" s="23">
        <v>44756</v>
      </c>
      <c r="N231" s="12">
        <v>32</v>
      </c>
      <c r="P231" s="23">
        <v>44823</v>
      </c>
      <c r="Q231" s="25">
        <f t="shared" si="0"/>
        <v>38</v>
      </c>
      <c r="R231" s="12">
        <v>213</v>
      </c>
      <c r="X231" s="26">
        <f t="shared" si="4"/>
        <v>7</v>
      </c>
      <c r="Y231" s="25">
        <f t="shared" si="5"/>
        <v>28</v>
      </c>
      <c r="Z231" s="30">
        <v>44756</v>
      </c>
      <c r="AA231" s="25">
        <v>32</v>
      </c>
      <c r="AB231" s="25">
        <f t="shared" si="2"/>
        <v>92</v>
      </c>
      <c r="AC231" s="25">
        <f t="shared" si="3"/>
        <v>193</v>
      </c>
      <c r="AD231" s="31">
        <f t="shared" si="6"/>
        <v>0.34782608695652173</v>
      </c>
      <c r="AE231" s="32">
        <f t="shared" si="7"/>
        <v>0.16580310880829016</v>
      </c>
    </row>
    <row r="232" spans="1:31" x14ac:dyDescent="0.25">
      <c r="A232" s="2"/>
      <c r="B232" s="3"/>
      <c r="M232" s="23">
        <v>44757</v>
      </c>
      <c r="N232" s="12">
        <v>25</v>
      </c>
      <c r="P232" s="23">
        <v>44830</v>
      </c>
      <c r="Q232" s="25">
        <f t="shared" si="0"/>
        <v>39</v>
      </c>
      <c r="R232" s="12">
        <v>208</v>
      </c>
      <c r="X232" s="26">
        <f t="shared" si="4"/>
        <v>7</v>
      </c>
      <c r="Y232" s="25">
        <f t="shared" si="5"/>
        <v>28</v>
      </c>
      <c r="Z232" s="30">
        <v>44757</v>
      </c>
      <c r="AA232" s="25">
        <v>25</v>
      </c>
      <c r="AB232" s="25">
        <f t="shared" si="2"/>
        <v>92</v>
      </c>
      <c r="AC232" s="25">
        <f t="shared" si="3"/>
        <v>193</v>
      </c>
      <c r="AD232" s="31">
        <f t="shared" si="6"/>
        <v>0.27173913043478259</v>
      </c>
      <c r="AE232" s="32">
        <f t="shared" si="7"/>
        <v>0.12953367875647667</v>
      </c>
    </row>
    <row r="233" spans="1:31" x14ac:dyDescent="0.25">
      <c r="A233" s="2"/>
      <c r="B233" s="3"/>
      <c r="M233" s="23">
        <v>44758</v>
      </c>
      <c r="N233" s="12">
        <v>34</v>
      </c>
      <c r="P233" s="23">
        <v>44837</v>
      </c>
      <c r="Q233" s="25">
        <f t="shared" si="0"/>
        <v>40</v>
      </c>
      <c r="R233" s="12">
        <v>207</v>
      </c>
      <c r="X233" s="26">
        <f t="shared" si="4"/>
        <v>7</v>
      </c>
      <c r="Y233" s="25">
        <f t="shared" si="5"/>
        <v>28</v>
      </c>
      <c r="Z233" s="30">
        <v>44758</v>
      </c>
      <c r="AA233" s="25">
        <v>34</v>
      </c>
      <c r="AB233" s="25">
        <f t="shared" si="2"/>
        <v>92</v>
      </c>
      <c r="AC233" s="25">
        <f t="shared" si="3"/>
        <v>193</v>
      </c>
      <c r="AD233" s="31">
        <f t="shared" si="6"/>
        <v>0.36956521739130432</v>
      </c>
      <c r="AE233" s="32">
        <f t="shared" si="7"/>
        <v>0.17616580310880828</v>
      </c>
    </row>
    <row r="234" spans="1:31" x14ac:dyDescent="0.25">
      <c r="A234" s="2"/>
      <c r="B234" s="3"/>
      <c r="M234" s="23">
        <v>44759</v>
      </c>
      <c r="N234" s="12">
        <v>39</v>
      </c>
      <c r="P234" s="23">
        <v>44844</v>
      </c>
      <c r="Q234" s="25">
        <f t="shared" si="0"/>
        <v>41</v>
      </c>
      <c r="R234" s="12">
        <v>204</v>
      </c>
      <c r="X234" s="26">
        <f t="shared" si="4"/>
        <v>7</v>
      </c>
      <c r="Y234" s="25">
        <f t="shared" si="5"/>
        <v>28</v>
      </c>
      <c r="Z234" s="30">
        <v>44759</v>
      </c>
      <c r="AA234" s="25">
        <v>39</v>
      </c>
      <c r="AB234" s="25">
        <f t="shared" si="2"/>
        <v>92</v>
      </c>
      <c r="AC234" s="25">
        <f t="shared" si="3"/>
        <v>193</v>
      </c>
      <c r="AD234" s="31">
        <f t="shared" si="6"/>
        <v>0.42391304347826086</v>
      </c>
      <c r="AE234" s="32">
        <f t="shared" si="7"/>
        <v>0.20207253886010362</v>
      </c>
    </row>
    <row r="235" spans="1:31" x14ac:dyDescent="0.25">
      <c r="A235" s="2"/>
      <c r="B235" s="3"/>
      <c r="M235" s="23">
        <v>44760</v>
      </c>
      <c r="N235" s="12">
        <v>22</v>
      </c>
      <c r="P235" s="23">
        <v>44851</v>
      </c>
      <c r="Q235" s="25">
        <f t="shared" si="0"/>
        <v>42</v>
      </c>
      <c r="R235" s="12">
        <v>201</v>
      </c>
      <c r="X235" s="26">
        <f t="shared" si="4"/>
        <v>7</v>
      </c>
      <c r="Y235" s="25">
        <f t="shared" si="5"/>
        <v>29</v>
      </c>
      <c r="Z235" s="30">
        <v>44760</v>
      </c>
      <c r="AA235" s="25">
        <v>22</v>
      </c>
      <c r="AB235" s="25">
        <f t="shared" si="2"/>
        <v>133</v>
      </c>
      <c r="AC235" s="25">
        <f t="shared" si="3"/>
        <v>193</v>
      </c>
      <c r="AD235" s="31">
        <f t="shared" si="6"/>
        <v>0.16541353383458646</v>
      </c>
      <c r="AE235" s="32">
        <f t="shared" si="7"/>
        <v>0.11398963730569948</v>
      </c>
    </row>
    <row r="236" spans="1:31" x14ac:dyDescent="0.25">
      <c r="A236" s="2"/>
      <c r="B236" s="3"/>
      <c r="M236" s="23">
        <v>44761</v>
      </c>
      <c r="N236" s="12">
        <v>38</v>
      </c>
      <c r="P236" s="23">
        <v>44858</v>
      </c>
      <c r="Q236" s="25">
        <f t="shared" si="0"/>
        <v>43</v>
      </c>
      <c r="R236" s="12">
        <v>213</v>
      </c>
      <c r="X236" s="26">
        <f t="shared" si="4"/>
        <v>7</v>
      </c>
      <c r="Y236" s="25">
        <f t="shared" si="5"/>
        <v>29</v>
      </c>
      <c r="Z236" s="30">
        <v>44761</v>
      </c>
      <c r="AA236" s="25">
        <v>38</v>
      </c>
      <c r="AB236" s="25">
        <f t="shared" si="2"/>
        <v>133</v>
      </c>
      <c r="AC236" s="25">
        <f t="shared" si="3"/>
        <v>193</v>
      </c>
      <c r="AD236" s="31">
        <f t="shared" si="6"/>
        <v>0.2857142857142857</v>
      </c>
      <c r="AE236" s="32">
        <f t="shared" si="7"/>
        <v>0.19689119170984457</v>
      </c>
    </row>
    <row r="237" spans="1:31" x14ac:dyDescent="0.25">
      <c r="A237" s="2"/>
      <c r="B237" s="3"/>
      <c r="C237" s="1" t="s">
        <v>39</v>
      </c>
      <c r="M237" s="23">
        <v>44762</v>
      </c>
      <c r="N237" s="12">
        <v>34</v>
      </c>
      <c r="P237" s="23">
        <v>44865</v>
      </c>
      <c r="Q237" s="25">
        <f t="shared" si="0"/>
        <v>44</v>
      </c>
      <c r="R237" s="12">
        <v>214</v>
      </c>
      <c r="X237" s="26">
        <f t="shared" si="4"/>
        <v>7</v>
      </c>
      <c r="Y237" s="25">
        <f t="shared" si="5"/>
        <v>29</v>
      </c>
      <c r="Z237" s="30">
        <v>44762</v>
      </c>
      <c r="AA237" s="25">
        <v>34</v>
      </c>
      <c r="AB237" s="25">
        <f t="shared" si="2"/>
        <v>133</v>
      </c>
      <c r="AC237" s="25">
        <f t="shared" si="3"/>
        <v>193</v>
      </c>
      <c r="AD237" s="31">
        <f t="shared" si="6"/>
        <v>0.25563909774436089</v>
      </c>
      <c r="AE237" s="32">
        <f t="shared" si="7"/>
        <v>0.17616580310880828</v>
      </c>
    </row>
    <row r="238" spans="1:31" x14ac:dyDescent="0.25">
      <c r="M238" s="23">
        <v>44763</v>
      </c>
      <c r="N238" s="12">
        <v>50</v>
      </c>
      <c r="P238" s="23">
        <v>44872</v>
      </c>
      <c r="Q238" s="25">
        <f t="shared" si="0"/>
        <v>45</v>
      </c>
      <c r="R238" s="12">
        <v>203</v>
      </c>
      <c r="X238" s="26">
        <f t="shared" si="4"/>
        <v>7</v>
      </c>
      <c r="Y238" s="25">
        <f t="shared" si="5"/>
        <v>29</v>
      </c>
      <c r="Z238" s="30">
        <v>44763</v>
      </c>
      <c r="AA238" s="25">
        <v>50</v>
      </c>
      <c r="AB238" s="25">
        <f t="shared" si="2"/>
        <v>133</v>
      </c>
      <c r="AC238" s="25">
        <f t="shared" si="3"/>
        <v>193</v>
      </c>
      <c r="AD238" s="31">
        <f t="shared" si="6"/>
        <v>0.37593984962406013</v>
      </c>
      <c r="AE238" s="32">
        <f t="shared" si="7"/>
        <v>0.25906735751295334</v>
      </c>
    </row>
    <row r="239" spans="1:31" x14ac:dyDescent="0.25">
      <c r="A239" s="1"/>
      <c r="M239" s="23">
        <v>44764</v>
      </c>
      <c r="N239" s="12">
        <v>43</v>
      </c>
      <c r="P239" s="23">
        <v>44879</v>
      </c>
      <c r="Q239" s="25">
        <f t="shared" si="0"/>
        <v>46</v>
      </c>
      <c r="R239" s="12">
        <v>202</v>
      </c>
      <c r="X239" s="26">
        <f t="shared" si="4"/>
        <v>7</v>
      </c>
      <c r="Y239" s="25">
        <f t="shared" si="5"/>
        <v>29</v>
      </c>
      <c r="Z239" s="30">
        <v>44764</v>
      </c>
      <c r="AA239" s="25">
        <v>43</v>
      </c>
      <c r="AB239" s="25">
        <f t="shared" si="2"/>
        <v>133</v>
      </c>
      <c r="AC239" s="25">
        <f t="shared" si="3"/>
        <v>193</v>
      </c>
      <c r="AD239" s="31">
        <f t="shared" si="6"/>
        <v>0.32330827067669171</v>
      </c>
      <c r="AE239" s="32">
        <f t="shared" si="7"/>
        <v>0.22279792746113988</v>
      </c>
    </row>
    <row r="240" spans="1:31" x14ac:dyDescent="0.25">
      <c r="A240" s="2"/>
      <c r="B240" s="3"/>
      <c r="M240" s="23">
        <v>44765</v>
      </c>
      <c r="N240" s="12">
        <v>43</v>
      </c>
      <c r="P240" s="23">
        <v>44886</v>
      </c>
      <c r="Q240" s="25">
        <f t="shared" si="0"/>
        <v>47</v>
      </c>
      <c r="R240" s="12">
        <v>167</v>
      </c>
      <c r="X240" s="26">
        <f t="shared" si="4"/>
        <v>7</v>
      </c>
      <c r="Y240" s="25">
        <f t="shared" si="5"/>
        <v>29</v>
      </c>
      <c r="Z240" s="30">
        <v>44765</v>
      </c>
      <c r="AA240" s="25">
        <v>43</v>
      </c>
      <c r="AB240" s="25">
        <f t="shared" si="2"/>
        <v>133</v>
      </c>
      <c r="AC240" s="25">
        <f t="shared" si="3"/>
        <v>193</v>
      </c>
      <c r="AD240" s="31">
        <f t="shared" si="6"/>
        <v>0.32330827067669171</v>
      </c>
      <c r="AE240" s="32">
        <f t="shared" si="7"/>
        <v>0.22279792746113988</v>
      </c>
    </row>
    <row r="241" spans="1:31" x14ac:dyDescent="0.25">
      <c r="A241" s="2"/>
      <c r="B241" s="3"/>
      <c r="M241" s="23">
        <v>44766</v>
      </c>
      <c r="N241" s="12">
        <v>53</v>
      </c>
      <c r="P241" s="23">
        <v>44893</v>
      </c>
      <c r="Q241" s="25">
        <f t="shared" si="0"/>
        <v>48</v>
      </c>
      <c r="R241" s="12">
        <v>157</v>
      </c>
      <c r="X241" s="26">
        <f t="shared" si="4"/>
        <v>7</v>
      </c>
      <c r="Y241" s="25">
        <f t="shared" si="5"/>
        <v>29</v>
      </c>
      <c r="Z241" s="30">
        <v>44766</v>
      </c>
      <c r="AA241" s="25">
        <v>53</v>
      </c>
      <c r="AB241" s="25">
        <f t="shared" si="2"/>
        <v>133</v>
      </c>
      <c r="AC241" s="25">
        <f t="shared" si="3"/>
        <v>193</v>
      </c>
      <c r="AD241" s="31">
        <f t="shared" si="6"/>
        <v>0.39849624060150374</v>
      </c>
      <c r="AE241" s="32">
        <f t="shared" si="7"/>
        <v>0.27461139896373055</v>
      </c>
    </row>
    <row r="242" spans="1:31" x14ac:dyDescent="0.25">
      <c r="A242" s="2"/>
      <c r="B242" s="3"/>
      <c r="M242" s="23">
        <v>44767</v>
      </c>
      <c r="N242" s="12">
        <v>63</v>
      </c>
      <c r="P242" s="23">
        <v>44900</v>
      </c>
      <c r="Q242" s="25">
        <f t="shared" si="0"/>
        <v>49</v>
      </c>
      <c r="R242" s="12">
        <v>156</v>
      </c>
      <c r="X242" s="26">
        <f t="shared" si="4"/>
        <v>7</v>
      </c>
      <c r="Y242" s="25">
        <f t="shared" si="5"/>
        <v>30</v>
      </c>
      <c r="Z242" s="30">
        <v>44767</v>
      </c>
      <c r="AA242" s="25">
        <v>63</v>
      </c>
      <c r="AB242" s="25">
        <f t="shared" si="2"/>
        <v>183</v>
      </c>
      <c r="AC242" s="25">
        <f t="shared" si="3"/>
        <v>193</v>
      </c>
      <c r="AD242" s="31">
        <f t="shared" si="6"/>
        <v>0.34426229508196721</v>
      </c>
      <c r="AE242" s="32">
        <f t="shared" si="7"/>
        <v>0.32642487046632124</v>
      </c>
    </row>
    <row r="243" spans="1:31" x14ac:dyDescent="0.25">
      <c r="A243" s="2"/>
      <c r="B243" s="3"/>
      <c r="M243" s="23">
        <v>44768</v>
      </c>
      <c r="N243" s="12">
        <v>48</v>
      </c>
      <c r="P243" s="23">
        <v>44907</v>
      </c>
      <c r="Q243" s="25">
        <f t="shared" si="0"/>
        <v>50</v>
      </c>
      <c r="R243" s="12">
        <v>153</v>
      </c>
      <c r="X243" s="26">
        <f t="shared" si="4"/>
        <v>7</v>
      </c>
      <c r="Y243" s="25">
        <f t="shared" si="5"/>
        <v>30</v>
      </c>
      <c r="Z243" s="30">
        <v>44768</v>
      </c>
      <c r="AA243" s="25">
        <v>48</v>
      </c>
      <c r="AB243" s="25">
        <f t="shared" si="2"/>
        <v>183</v>
      </c>
      <c r="AC243" s="25">
        <f t="shared" si="3"/>
        <v>193</v>
      </c>
      <c r="AD243" s="31">
        <f t="shared" si="6"/>
        <v>0.26229508196721313</v>
      </c>
      <c r="AE243" s="32">
        <f t="shared" si="7"/>
        <v>0.24870466321243523</v>
      </c>
    </row>
    <row r="244" spans="1:31" x14ac:dyDescent="0.25">
      <c r="A244" s="2"/>
      <c r="B244" s="3"/>
      <c r="M244" s="23">
        <v>44769</v>
      </c>
      <c r="N244" s="12">
        <v>59</v>
      </c>
      <c r="P244" s="23">
        <v>44914</v>
      </c>
      <c r="Q244" s="25">
        <f t="shared" si="0"/>
        <v>51</v>
      </c>
      <c r="R244" s="12">
        <v>145</v>
      </c>
      <c r="X244" s="26">
        <f t="shared" si="4"/>
        <v>7</v>
      </c>
      <c r="Y244" s="25">
        <f t="shared" si="5"/>
        <v>30</v>
      </c>
      <c r="Z244" s="30">
        <v>44769</v>
      </c>
      <c r="AA244" s="25">
        <v>59</v>
      </c>
      <c r="AB244" s="25">
        <f t="shared" si="2"/>
        <v>183</v>
      </c>
      <c r="AC244" s="25">
        <f t="shared" si="3"/>
        <v>193</v>
      </c>
      <c r="AD244" s="31">
        <f t="shared" si="6"/>
        <v>0.32240437158469948</v>
      </c>
      <c r="AE244" s="32">
        <f t="shared" si="7"/>
        <v>0.30569948186528495</v>
      </c>
    </row>
    <row r="245" spans="1:31" x14ac:dyDescent="0.25">
      <c r="A245" s="2"/>
      <c r="B245" s="3"/>
      <c r="M245" s="23">
        <v>44770</v>
      </c>
      <c r="N245" s="12">
        <v>59</v>
      </c>
      <c r="P245" s="23">
        <v>44921</v>
      </c>
      <c r="Q245" s="25">
        <f t="shared" si="0"/>
        <v>52</v>
      </c>
      <c r="R245" s="12">
        <v>141</v>
      </c>
      <c r="X245" s="26">
        <f t="shared" si="4"/>
        <v>7</v>
      </c>
      <c r="Y245" s="25">
        <f t="shared" si="5"/>
        <v>30</v>
      </c>
      <c r="Z245" s="30">
        <v>44770</v>
      </c>
      <c r="AA245" s="25">
        <v>59</v>
      </c>
      <c r="AB245" s="25">
        <f t="shared" si="2"/>
        <v>183</v>
      </c>
      <c r="AC245" s="25">
        <f t="shared" si="3"/>
        <v>193</v>
      </c>
      <c r="AD245" s="31">
        <f t="shared" si="6"/>
        <v>0.32240437158469948</v>
      </c>
      <c r="AE245" s="32">
        <f t="shared" si="7"/>
        <v>0.30569948186528495</v>
      </c>
    </row>
    <row r="246" spans="1:31" x14ac:dyDescent="0.25">
      <c r="A246" s="2"/>
      <c r="B246" s="3"/>
      <c r="M246" s="23">
        <v>44771</v>
      </c>
      <c r="N246" s="12">
        <v>61</v>
      </c>
      <c r="P246" s="23">
        <v>44928</v>
      </c>
      <c r="Q246" s="25">
        <f t="shared" si="0"/>
        <v>1</v>
      </c>
      <c r="R246" s="12">
        <v>190</v>
      </c>
      <c r="X246" s="26">
        <f t="shared" si="4"/>
        <v>7</v>
      </c>
      <c r="Y246" s="25">
        <f t="shared" si="5"/>
        <v>30</v>
      </c>
      <c r="Z246" s="30">
        <v>44771</v>
      </c>
      <c r="AA246" s="25">
        <v>61</v>
      </c>
      <c r="AB246" s="25">
        <f t="shared" si="2"/>
        <v>183</v>
      </c>
      <c r="AC246" s="25">
        <f t="shared" si="3"/>
        <v>193</v>
      </c>
      <c r="AD246" s="31">
        <f t="shared" si="6"/>
        <v>0.33333333333333331</v>
      </c>
      <c r="AE246" s="32">
        <f t="shared" si="7"/>
        <v>0.31606217616580312</v>
      </c>
    </row>
    <row r="247" spans="1:31" x14ac:dyDescent="0.25">
      <c r="A247" s="2"/>
      <c r="B247" s="3"/>
      <c r="M247" s="23">
        <v>44772</v>
      </c>
      <c r="N247" s="12">
        <v>64</v>
      </c>
      <c r="P247" s="23">
        <v>44935</v>
      </c>
      <c r="Q247" s="25">
        <f t="shared" si="0"/>
        <v>2</v>
      </c>
      <c r="R247" s="12">
        <v>233</v>
      </c>
      <c r="X247" s="26">
        <f t="shared" si="4"/>
        <v>7</v>
      </c>
      <c r="Y247" s="25">
        <f t="shared" si="5"/>
        <v>30</v>
      </c>
      <c r="Z247" s="30">
        <v>44772</v>
      </c>
      <c r="AA247" s="25">
        <v>64</v>
      </c>
      <c r="AB247" s="25">
        <f t="shared" si="2"/>
        <v>183</v>
      </c>
      <c r="AC247" s="25">
        <f t="shared" si="3"/>
        <v>193</v>
      </c>
      <c r="AD247" s="31">
        <f t="shared" si="6"/>
        <v>0.34972677595628415</v>
      </c>
      <c r="AE247" s="32">
        <f t="shared" si="7"/>
        <v>0.33160621761658032</v>
      </c>
    </row>
    <row r="248" spans="1:31" x14ac:dyDescent="0.25">
      <c r="A248" s="2"/>
      <c r="B248" s="3"/>
      <c r="M248" s="23">
        <v>44773</v>
      </c>
      <c r="N248" s="12">
        <v>64</v>
      </c>
      <c r="P248" s="23">
        <v>44942</v>
      </c>
      <c r="Q248" s="25">
        <f t="shared" si="0"/>
        <v>3</v>
      </c>
      <c r="R248" s="12">
        <v>272</v>
      </c>
      <c r="X248" s="26">
        <f t="shared" si="4"/>
        <v>7</v>
      </c>
      <c r="Y248" s="25">
        <f t="shared" si="5"/>
        <v>30</v>
      </c>
      <c r="Z248" s="30">
        <v>44773</v>
      </c>
      <c r="AA248" s="25">
        <v>64</v>
      </c>
      <c r="AB248" s="25">
        <f t="shared" si="2"/>
        <v>183</v>
      </c>
      <c r="AC248" s="25">
        <f t="shared" si="3"/>
        <v>193</v>
      </c>
      <c r="AD248" s="31">
        <f t="shared" si="6"/>
        <v>0.34972677595628415</v>
      </c>
      <c r="AE248" s="32">
        <f t="shared" si="7"/>
        <v>0.33160621761658032</v>
      </c>
    </row>
    <row r="249" spans="1:31" x14ac:dyDescent="0.25">
      <c r="A249" s="2"/>
      <c r="B249" s="3"/>
      <c r="M249" s="23">
        <v>44774</v>
      </c>
      <c r="N249" s="12">
        <v>52</v>
      </c>
      <c r="P249" s="23">
        <v>44949</v>
      </c>
      <c r="Q249" s="25">
        <f t="shared" si="0"/>
        <v>4</v>
      </c>
      <c r="R249" s="12">
        <v>295</v>
      </c>
      <c r="X249" s="26">
        <f t="shared" si="4"/>
        <v>8</v>
      </c>
      <c r="Y249" s="25">
        <f t="shared" si="5"/>
        <v>31</v>
      </c>
      <c r="Z249" s="30">
        <v>44774</v>
      </c>
      <c r="AA249" s="25">
        <v>52</v>
      </c>
      <c r="AB249" s="25">
        <f t="shared" si="2"/>
        <v>202</v>
      </c>
      <c r="AC249" s="25">
        <f t="shared" si="3"/>
        <v>366</v>
      </c>
      <c r="AD249" s="31">
        <f t="shared" si="6"/>
        <v>0.25742574257425743</v>
      </c>
      <c r="AE249" s="32">
        <f t="shared" si="7"/>
        <v>0.14207650273224043</v>
      </c>
    </row>
    <row r="250" spans="1:31" x14ac:dyDescent="0.25">
      <c r="A250" s="2"/>
      <c r="B250" s="3"/>
      <c r="M250" s="23">
        <v>44775</v>
      </c>
      <c r="N250" s="12">
        <v>62</v>
      </c>
      <c r="P250" s="23">
        <v>44956</v>
      </c>
      <c r="Q250" s="25">
        <f t="shared" si="0"/>
        <v>5</v>
      </c>
      <c r="R250" s="12">
        <v>346</v>
      </c>
      <c r="X250" s="26">
        <f t="shared" si="4"/>
        <v>8</v>
      </c>
      <c r="Y250" s="25">
        <f t="shared" si="5"/>
        <v>31</v>
      </c>
      <c r="Z250" s="30">
        <v>44775</v>
      </c>
      <c r="AA250" s="25">
        <v>62</v>
      </c>
      <c r="AB250" s="25">
        <f t="shared" si="2"/>
        <v>202</v>
      </c>
      <c r="AC250" s="25">
        <f t="shared" si="3"/>
        <v>366</v>
      </c>
      <c r="AD250" s="31">
        <f t="shared" si="6"/>
        <v>0.30693069306930693</v>
      </c>
      <c r="AE250" s="32">
        <f t="shared" si="7"/>
        <v>0.16939890710382513</v>
      </c>
    </row>
    <row r="251" spans="1:31" x14ac:dyDescent="0.25">
      <c r="A251" s="2"/>
      <c r="B251" s="3"/>
      <c r="M251" s="23">
        <v>44776</v>
      </c>
      <c r="N251" s="12">
        <v>55</v>
      </c>
      <c r="P251" s="23">
        <v>44963</v>
      </c>
      <c r="Q251" s="25">
        <f t="shared" si="0"/>
        <v>6</v>
      </c>
      <c r="R251" s="12">
        <v>340</v>
      </c>
      <c r="X251" s="26">
        <f t="shared" si="4"/>
        <v>8</v>
      </c>
      <c r="Y251" s="25">
        <f t="shared" si="5"/>
        <v>31</v>
      </c>
      <c r="Z251" s="30">
        <v>44776</v>
      </c>
      <c r="AA251" s="25">
        <v>55</v>
      </c>
      <c r="AB251" s="25">
        <f t="shared" si="2"/>
        <v>202</v>
      </c>
      <c r="AC251" s="25">
        <f t="shared" si="3"/>
        <v>366</v>
      </c>
      <c r="AD251" s="31">
        <f t="shared" si="6"/>
        <v>0.2722772277227723</v>
      </c>
      <c r="AE251" s="32">
        <f t="shared" si="7"/>
        <v>0.15027322404371585</v>
      </c>
    </row>
    <row r="252" spans="1:31" x14ac:dyDescent="0.25">
      <c r="A252" s="2"/>
      <c r="B252" s="3"/>
      <c r="M252" s="23">
        <v>44777</v>
      </c>
      <c r="N252" s="12">
        <v>60</v>
      </c>
      <c r="P252" s="23">
        <v>44970</v>
      </c>
      <c r="Q252" s="25">
        <f t="shared" si="0"/>
        <v>7</v>
      </c>
      <c r="R252" s="12">
        <v>347</v>
      </c>
      <c r="X252" s="26">
        <f t="shared" si="4"/>
        <v>8</v>
      </c>
      <c r="Y252" s="25">
        <f t="shared" si="5"/>
        <v>31</v>
      </c>
      <c r="Z252" s="30">
        <v>44777</v>
      </c>
      <c r="AA252" s="25">
        <v>60</v>
      </c>
      <c r="AB252" s="25">
        <f t="shared" si="2"/>
        <v>202</v>
      </c>
      <c r="AC252" s="25">
        <f t="shared" si="3"/>
        <v>366</v>
      </c>
      <c r="AD252" s="31">
        <f t="shared" si="6"/>
        <v>0.29702970297029702</v>
      </c>
      <c r="AE252" s="32">
        <f t="shared" si="7"/>
        <v>0.16393442622950818</v>
      </c>
    </row>
    <row r="253" spans="1:31" x14ac:dyDescent="0.25">
      <c r="A253" s="2"/>
      <c r="B253" s="3"/>
      <c r="M253" s="23">
        <v>44778</v>
      </c>
      <c r="N253" s="12">
        <v>52</v>
      </c>
      <c r="P253" s="23">
        <v>44977</v>
      </c>
      <c r="Q253" s="25">
        <f t="shared" si="0"/>
        <v>8</v>
      </c>
      <c r="R253" s="12">
        <v>384</v>
      </c>
      <c r="X253" s="26">
        <f t="shared" si="4"/>
        <v>8</v>
      </c>
      <c r="Y253" s="25">
        <f t="shared" si="5"/>
        <v>31</v>
      </c>
      <c r="Z253" s="30">
        <v>44778</v>
      </c>
      <c r="AA253" s="25">
        <v>52</v>
      </c>
      <c r="AB253" s="25">
        <f t="shared" si="2"/>
        <v>202</v>
      </c>
      <c r="AC253" s="25">
        <f t="shared" si="3"/>
        <v>366</v>
      </c>
      <c r="AD253" s="31">
        <f t="shared" si="6"/>
        <v>0.25742574257425743</v>
      </c>
      <c r="AE253" s="32">
        <f t="shared" si="7"/>
        <v>0.14207650273224043</v>
      </c>
    </row>
    <row r="254" spans="1:31" x14ac:dyDescent="0.25">
      <c r="A254" s="2"/>
      <c r="B254" s="3"/>
      <c r="M254" s="23">
        <v>44779</v>
      </c>
      <c r="N254" s="12">
        <v>62</v>
      </c>
      <c r="P254" s="23">
        <v>44984</v>
      </c>
      <c r="Q254" s="25">
        <f t="shared" si="0"/>
        <v>9</v>
      </c>
      <c r="R254" s="12">
        <v>611</v>
      </c>
      <c r="X254" s="26">
        <f t="shared" si="4"/>
        <v>8</v>
      </c>
      <c r="Y254" s="25">
        <f t="shared" si="5"/>
        <v>31</v>
      </c>
      <c r="Z254" s="30">
        <v>44779</v>
      </c>
      <c r="AA254" s="25">
        <v>62</v>
      </c>
      <c r="AB254" s="25">
        <f t="shared" si="2"/>
        <v>202</v>
      </c>
      <c r="AC254" s="25">
        <f t="shared" si="3"/>
        <v>366</v>
      </c>
      <c r="AD254" s="31">
        <f t="shared" si="6"/>
        <v>0.30693069306930693</v>
      </c>
      <c r="AE254" s="32">
        <f t="shared" si="7"/>
        <v>0.16939890710382513</v>
      </c>
    </row>
    <row r="255" spans="1:31" x14ac:dyDescent="0.25">
      <c r="A255" s="2"/>
      <c r="B255" s="3"/>
      <c r="M255" s="23">
        <v>44780</v>
      </c>
      <c r="N255" s="12">
        <v>59</v>
      </c>
      <c r="P255" s="23">
        <v>44991</v>
      </c>
      <c r="Q255" s="25">
        <f t="shared" si="0"/>
        <v>10</v>
      </c>
      <c r="R255" s="12">
        <v>712</v>
      </c>
      <c r="X255" s="26">
        <f t="shared" si="4"/>
        <v>8</v>
      </c>
      <c r="Y255" s="25">
        <f t="shared" si="5"/>
        <v>31</v>
      </c>
      <c r="Z255" s="30">
        <v>44780</v>
      </c>
      <c r="AA255" s="25">
        <v>59</v>
      </c>
      <c r="AB255" s="25">
        <f t="shared" si="2"/>
        <v>202</v>
      </c>
      <c r="AC255" s="25">
        <f t="shared" si="3"/>
        <v>366</v>
      </c>
      <c r="AD255" s="31">
        <f t="shared" si="6"/>
        <v>0.29207920792079206</v>
      </c>
      <c r="AE255" s="32">
        <f t="shared" si="7"/>
        <v>0.16120218579234974</v>
      </c>
    </row>
    <row r="256" spans="1:31" x14ac:dyDescent="0.25">
      <c r="A256" s="2"/>
      <c r="B256" s="3"/>
      <c r="M256" s="23">
        <v>44781</v>
      </c>
      <c r="N256" s="12">
        <v>58</v>
      </c>
      <c r="P256" s="23">
        <v>44998</v>
      </c>
      <c r="Q256" s="25">
        <f t="shared" si="0"/>
        <v>11</v>
      </c>
      <c r="R256" s="12">
        <v>772</v>
      </c>
      <c r="X256" s="26">
        <f t="shared" si="4"/>
        <v>8</v>
      </c>
      <c r="Y256" s="25">
        <f t="shared" si="5"/>
        <v>32</v>
      </c>
      <c r="Z256" s="30">
        <v>44781</v>
      </c>
      <c r="AA256" s="25">
        <v>58</v>
      </c>
      <c r="AB256" s="25">
        <f t="shared" si="2"/>
        <v>193</v>
      </c>
      <c r="AC256" s="25">
        <f t="shared" si="3"/>
        <v>366</v>
      </c>
      <c r="AD256" s="31">
        <f t="shared" si="6"/>
        <v>0.30051813471502592</v>
      </c>
      <c r="AE256" s="32">
        <f t="shared" si="7"/>
        <v>0.15846994535519127</v>
      </c>
    </row>
    <row r="257" spans="1:31" x14ac:dyDescent="0.25">
      <c r="A257" s="2"/>
      <c r="B257" s="3"/>
      <c r="M257" s="23">
        <v>44782</v>
      </c>
      <c r="N257" s="12">
        <v>53</v>
      </c>
      <c r="P257" s="23">
        <v>45005</v>
      </c>
      <c r="Q257" s="25">
        <f t="shared" si="0"/>
        <v>12</v>
      </c>
      <c r="R257" s="12">
        <v>656</v>
      </c>
      <c r="X257" s="26">
        <f t="shared" si="4"/>
        <v>8</v>
      </c>
      <c r="Y257" s="25">
        <f t="shared" si="5"/>
        <v>32</v>
      </c>
      <c r="Z257" s="30">
        <v>44782</v>
      </c>
      <c r="AA257" s="25">
        <v>53</v>
      </c>
      <c r="AB257" s="25">
        <f t="shared" si="2"/>
        <v>193</v>
      </c>
      <c r="AC257" s="25">
        <f t="shared" si="3"/>
        <v>366</v>
      </c>
      <c r="AD257" s="31">
        <f t="shared" si="6"/>
        <v>0.27461139896373055</v>
      </c>
      <c r="AE257" s="32">
        <f t="shared" si="7"/>
        <v>0.1448087431693989</v>
      </c>
    </row>
    <row r="258" spans="1:31" x14ac:dyDescent="0.25">
      <c r="A258" s="2"/>
      <c r="B258" s="1" t="s">
        <v>46</v>
      </c>
      <c r="M258" s="23">
        <v>44783</v>
      </c>
      <c r="N258" s="12">
        <v>55</v>
      </c>
      <c r="P258" s="23">
        <v>45012</v>
      </c>
      <c r="Q258" s="25">
        <f t="shared" si="0"/>
        <v>13</v>
      </c>
      <c r="R258" s="12">
        <v>661</v>
      </c>
      <c r="X258" s="26">
        <f t="shared" si="4"/>
        <v>8</v>
      </c>
      <c r="Y258" s="25">
        <f t="shared" si="5"/>
        <v>32</v>
      </c>
      <c r="Z258" s="30">
        <v>44783</v>
      </c>
      <c r="AA258" s="25">
        <v>55</v>
      </c>
      <c r="AB258" s="25">
        <f t="shared" si="2"/>
        <v>193</v>
      </c>
      <c r="AC258" s="25">
        <f t="shared" si="3"/>
        <v>366</v>
      </c>
      <c r="AD258" s="31">
        <f t="shared" si="6"/>
        <v>0.28497409326424872</v>
      </c>
      <c r="AE258" s="32">
        <f t="shared" si="7"/>
        <v>0.15027322404371585</v>
      </c>
    </row>
    <row r="259" spans="1:31" x14ac:dyDescent="0.25">
      <c r="B259" t="s">
        <v>47</v>
      </c>
      <c r="M259" s="23">
        <v>44784</v>
      </c>
      <c r="N259" s="12">
        <v>65</v>
      </c>
      <c r="P259" s="23">
        <v>45019</v>
      </c>
      <c r="Q259" s="25">
        <f t="shared" si="0"/>
        <v>14</v>
      </c>
      <c r="R259" s="12">
        <v>699</v>
      </c>
      <c r="X259" s="26">
        <f t="shared" si="4"/>
        <v>8</v>
      </c>
      <c r="Y259" s="25">
        <f t="shared" si="5"/>
        <v>32</v>
      </c>
      <c r="Z259" s="30">
        <v>44784</v>
      </c>
      <c r="AA259" s="25">
        <v>65</v>
      </c>
      <c r="AB259" s="25">
        <f t="shared" si="2"/>
        <v>193</v>
      </c>
      <c r="AC259" s="25">
        <f t="shared" si="3"/>
        <v>366</v>
      </c>
      <c r="AD259" s="31">
        <f t="shared" si="6"/>
        <v>0.33678756476683935</v>
      </c>
      <c r="AE259" s="32">
        <f t="shared" si="7"/>
        <v>0.17759562841530055</v>
      </c>
    </row>
    <row r="260" spans="1:31" x14ac:dyDescent="0.25">
      <c r="A260" s="1"/>
      <c r="M260" s="23">
        <v>44785</v>
      </c>
      <c r="N260" s="12">
        <v>54</v>
      </c>
      <c r="P260" s="23">
        <v>45026</v>
      </c>
      <c r="Q260" s="25">
        <f t="shared" si="0"/>
        <v>15</v>
      </c>
      <c r="R260" s="12">
        <v>614</v>
      </c>
      <c r="X260" s="26">
        <f t="shared" si="4"/>
        <v>8</v>
      </c>
      <c r="Y260" s="25">
        <f t="shared" si="5"/>
        <v>32</v>
      </c>
      <c r="Z260" s="30">
        <v>44785</v>
      </c>
      <c r="AA260" s="25">
        <v>54</v>
      </c>
      <c r="AB260" s="25">
        <f t="shared" si="2"/>
        <v>193</v>
      </c>
      <c r="AC260" s="25">
        <f t="shared" si="3"/>
        <v>366</v>
      </c>
      <c r="AD260" s="31">
        <f t="shared" si="6"/>
        <v>0.27979274611398963</v>
      </c>
      <c r="AE260" s="32">
        <f t="shared" si="7"/>
        <v>0.14754098360655737</v>
      </c>
    </row>
    <row r="261" spans="1:31" x14ac:dyDescent="0.25">
      <c r="A261" s="2"/>
      <c r="B261" s="3"/>
      <c r="M261" s="23">
        <v>44786</v>
      </c>
      <c r="N261" s="12">
        <v>74</v>
      </c>
      <c r="P261" s="23">
        <v>45033</v>
      </c>
      <c r="Q261" s="25">
        <f t="shared" si="0"/>
        <v>16</v>
      </c>
      <c r="R261" s="12">
        <v>545</v>
      </c>
      <c r="X261" s="26">
        <f t="shared" si="4"/>
        <v>8</v>
      </c>
      <c r="Y261" s="25">
        <f t="shared" si="5"/>
        <v>32</v>
      </c>
      <c r="Z261" s="30">
        <v>44786</v>
      </c>
      <c r="AA261" s="25">
        <v>74</v>
      </c>
      <c r="AB261" s="25">
        <f t="shared" si="2"/>
        <v>193</v>
      </c>
      <c r="AC261" s="25">
        <f t="shared" si="3"/>
        <v>366</v>
      </c>
      <c r="AD261" s="31">
        <f t="shared" si="6"/>
        <v>0.38341968911917096</v>
      </c>
      <c r="AE261" s="32">
        <f t="shared" si="7"/>
        <v>0.20218579234972678</v>
      </c>
    </row>
    <row r="262" spans="1:31" x14ac:dyDescent="0.25">
      <c r="A262" s="2"/>
      <c r="B262" s="3"/>
      <c r="M262" s="23">
        <v>44787</v>
      </c>
      <c r="N262" s="12">
        <v>59</v>
      </c>
      <c r="P262" s="24">
        <v>45040</v>
      </c>
      <c r="Q262" s="17">
        <f t="shared" si="0"/>
        <v>17</v>
      </c>
      <c r="R262" s="14">
        <v>422</v>
      </c>
      <c r="X262" s="26">
        <f t="shared" si="4"/>
        <v>8</v>
      </c>
      <c r="Y262" s="25">
        <f t="shared" si="5"/>
        <v>32</v>
      </c>
      <c r="Z262" s="30">
        <v>44787</v>
      </c>
      <c r="AA262" s="25">
        <v>59</v>
      </c>
      <c r="AB262" s="25">
        <f t="shared" si="2"/>
        <v>193</v>
      </c>
      <c r="AC262" s="25">
        <f t="shared" si="3"/>
        <v>366</v>
      </c>
      <c r="AD262" s="31">
        <f t="shared" si="6"/>
        <v>0.30569948186528495</v>
      </c>
      <c r="AE262" s="32">
        <f t="shared" si="7"/>
        <v>0.16120218579234974</v>
      </c>
    </row>
    <row r="263" spans="1:31" x14ac:dyDescent="0.25">
      <c r="A263" s="2"/>
      <c r="B263" s="3"/>
      <c r="M263" s="23">
        <v>44788</v>
      </c>
      <c r="N263" s="12">
        <v>54</v>
      </c>
      <c r="X263" s="26">
        <f t="shared" si="4"/>
        <v>8</v>
      </c>
      <c r="Y263" s="25">
        <f t="shared" si="5"/>
        <v>33</v>
      </c>
      <c r="Z263" s="30">
        <v>44788</v>
      </c>
      <c r="AA263" s="25">
        <v>54</v>
      </c>
      <c r="AB263" s="25">
        <f t="shared" si="2"/>
        <v>201</v>
      </c>
      <c r="AC263" s="25">
        <f t="shared" si="3"/>
        <v>366</v>
      </c>
      <c r="AD263" s="31">
        <f t="shared" si="6"/>
        <v>0.26865671641791045</v>
      </c>
      <c r="AE263" s="32">
        <f t="shared" si="7"/>
        <v>0.14754098360655737</v>
      </c>
    </row>
    <row r="264" spans="1:31" x14ac:dyDescent="0.25">
      <c r="A264" s="2"/>
      <c r="B264" s="3"/>
      <c r="M264" s="23">
        <v>44789</v>
      </c>
      <c r="N264" s="12">
        <v>68</v>
      </c>
      <c r="P264" s="4" t="s">
        <v>5</v>
      </c>
      <c r="X264" s="26">
        <f t="shared" si="4"/>
        <v>8</v>
      </c>
      <c r="Y264" s="25">
        <f t="shared" si="5"/>
        <v>33</v>
      </c>
      <c r="Z264" s="30">
        <v>44789</v>
      </c>
      <c r="AA264" s="25">
        <v>68</v>
      </c>
      <c r="AB264" s="25">
        <f t="shared" si="2"/>
        <v>201</v>
      </c>
      <c r="AC264" s="25">
        <f t="shared" si="3"/>
        <v>366</v>
      </c>
      <c r="AD264" s="31">
        <f t="shared" si="6"/>
        <v>0.3383084577114428</v>
      </c>
      <c r="AE264" s="32">
        <f t="shared" si="7"/>
        <v>0.18579234972677597</v>
      </c>
    </row>
    <row r="265" spans="1:31" x14ac:dyDescent="0.25">
      <c r="A265" s="2"/>
      <c r="B265" s="3"/>
      <c r="M265" s="23">
        <v>44790</v>
      </c>
      <c r="N265" s="12">
        <v>59</v>
      </c>
      <c r="X265" s="26">
        <f t="shared" si="4"/>
        <v>8</v>
      </c>
      <c r="Y265" s="25">
        <f t="shared" si="5"/>
        <v>33</v>
      </c>
      <c r="Z265" s="30">
        <v>44790</v>
      </c>
      <c r="AA265" s="25">
        <v>59</v>
      </c>
      <c r="AB265" s="25">
        <f t="shared" si="2"/>
        <v>201</v>
      </c>
      <c r="AC265" s="25">
        <f t="shared" si="3"/>
        <v>366</v>
      </c>
      <c r="AD265" s="31">
        <f t="shared" si="6"/>
        <v>0.29353233830845771</v>
      </c>
      <c r="AE265" s="32">
        <f t="shared" si="7"/>
        <v>0.16120218579234974</v>
      </c>
    </row>
    <row r="266" spans="1:31" x14ac:dyDescent="0.25">
      <c r="A266" s="2"/>
      <c r="B266" s="3"/>
      <c r="M266" s="23">
        <v>44791</v>
      </c>
      <c r="N266" s="12">
        <v>61</v>
      </c>
      <c r="X266" s="26">
        <f t="shared" si="4"/>
        <v>8</v>
      </c>
      <c r="Y266" s="25">
        <f t="shared" si="5"/>
        <v>33</v>
      </c>
      <c r="Z266" s="30">
        <v>44791</v>
      </c>
      <c r="AA266" s="25">
        <v>61</v>
      </c>
      <c r="AB266" s="25">
        <f t="shared" si="2"/>
        <v>201</v>
      </c>
      <c r="AC266" s="25">
        <f t="shared" si="3"/>
        <v>366</v>
      </c>
      <c r="AD266" s="31">
        <f t="shared" si="6"/>
        <v>0.30348258706467662</v>
      </c>
      <c r="AE266" s="32">
        <f t="shared" si="7"/>
        <v>0.16666666666666666</v>
      </c>
    </row>
    <row r="267" spans="1:31" x14ac:dyDescent="0.25">
      <c r="A267" s="2"/>
      <c r="B267" s="3"/>
      <c r="M267" s="23">
        <v>44792</v>
      </c>
      <c r="N267" s="12">
        <v>58</v>
      </c>
      <c r="X267" s="26">
        <f t="shared" si="4"/>
        <v>8</v>
      </c>
      <c r="Y267" s="25">
        <f t="shared" si="5"/>
        <v>33</v>
      </c>
      <c r="Z267" s="30">
        <v>44792</v>
      </c>
      <c r="AA267" s="25">
        <v>58</v>
      </c>
      <c r="AB267" s="25">
        <f t="shared" si="2"/>
        <v>201</v>
      </c>
      <c r="AC267" s="25">
        <f t="shared" si="3"/>
        <v>366</v>
      </c>
      <c r="AD267" s="31">
        <f t="shared" si="6"/>
        <v>0.28855721393034828</v>
      </c>
      <c r="AE267" s="32">
        <f t="shared" si="7"/>
        <v>0.15846994535519127</v>
      </c>
    </row>
    <row r="268" spans="1:31" x14ac:dyDescent="0.25">
      <c r="A268" s="2"/>
      <c r="B268" s="3"/>
      <c r="M268" s="23">
        <v>44793</v>
      </c>
      <c r="N268" s="12">
        <v>67</v>
      </c>
      <c r="X268" s="26">
        <f t="shared" si="4"/>
        <v>8</v>
      </c>
      <c r="Y268" s="25">
        <f t="shared" si="5"/>
        <v>33</v>
      </c>
      <c r="Z268" s="30">
        <v>44793</v>
      </c>
      <c r="AA268" s="25">
        <v>67</v>
      </c>
      <c r="AB268" s="25">
        <f t="shared" si="2"/>
        <v>201</v>
      </c>
      <c r="AC268" s="25">
        <f t="shared" si="3"/>
        <v>366</v>
      </c>
      <c r="AD268" s="31">
        <f t="shared" si="6"/>
        <v>0.33333333333333331</v>
      </c>
      <c r="AE268" s="32">
        <f t="shared" si="7"/>
        <v>0.1830601092896175</v>
      </c>
    </row>
    <row r="269" spans="1:31" x14ac:dyDescent="0.25">
      <c r="A269" s="2"/>
      <c r="B269" s="3"/>
      <c r="M269" s="23">
        <v>44794</v>
      </c>
      <c r="N269" s="12">
        <v>62</v>
      </c>
      <c r="X269" s="26">
        <f t="shared" si="4"/>
        <v>8</v>
      </c>
      <c r="Y269" s="25">
        <f t="shared" si="5"/>
        <v>33</v>
      </c>
      <c r="Z269" s="30">
        <v>44794</v>
      </c>
      <c r="AA269" s="25">
        <v>62</v>
      </c>
      <c r="AB269" s="25">
        <f t="shared" si="2"/>
        <v>201</v>
      </c>
      <c r="AC269" s="25">
        <f t="shared" si="3"/>
        <v>366</v>
      </c>
      <c r="AD269" s="31">
        <f t="shared" si="6"/>
        <v>0.30845771144278605</v>
      </c>
      <c r="AE269" s="32">
        <f t="shared" si="7"/>
        <v>0.16939890710382513</v>
      </c>
    </row>
    <row r="270" spans="1:31" x14ac:dyDescent="0.25">
      <c r="A270" s="2"/>
      <c r="B270" s="3"/>
      <c r="M270" s="23">
        <v>44795</v>
      </c>
      <c r="N270" s="12">
        <v>53</v>
      </c>
      <c r="X270" s="26">
        <f t="shared" si="4"/>
        <v>8</v>
      </c>
      <c r="Y270" s="25">
        <f t="shared" si="5"/>
        <v>34</v>
      </c>
      <c r="Z270" s="30">
        <v>44795</v>
      </c>
      <c r="AA270" s="25">
        <v>53</v>
      </c>
      <c r="AB270" s="25">
        <f t="shared" si="2"/>
        <v>206</v>
      </c>
      <c r="AC270" s="25">
        <f t="shared" si="3"/>
        <v>366</v>
      </c>
      <c r="AD270" s="31">
        <f t="shared" si="6"/>
        <v>0.25728155339805825</v>
      </c>
      <c r="AE270" s="32">
        <f t="shared" si="7"/>
        <v>0.1448087431693989</v>
      </c>
    </row>
    <row r="271" spans="1:31" x14ac:dyDescent="0.25">
      <c r="A271" s="2"/>
      <c r="B271" s="3"/>
      <c r="M271" s="23">
        <v>44796</v>
      </c>
      <c r="N271" s="12">
        <v>60</v>
      </c>
      <c r="X271" s="26">
        <f t="shared" si="4"/>
        <v>8</v>
      </c>
      <c r="Y271" s="25">
        <f t="shared" si="5"/>
        <v>34</v>
      </c>
      <c r="Z271" s="30">
        <v>44796</v>
      </c>
      <c r="AA271" s="25">
        <v>60</v>
      </c>
      <c r="AB271" s="25">
        <f t="shared" si="2"/>
        <v>206</v>
      </c>
      <c r="AC271" s="25">
        <f t="shared" si="3"/>
        <v>366</v>
      </c>
      <c r="AD271" s="31">
        <f t="shared" si="6"/>
        <v>0.29126213592233008</v>
      </c>
      <c r="AE271" s="32">
        <f t="shared" si="7"/>
        <v>0.16393442622950818</v>
      </c>
    </row>
    <row r="272" spans="1:31" x14ac:dyDescent="0.25">
      <c r="A272" s="2"/>
      <c r="B272" s="3"/>
      <c r="M272" s="23">
        <v>44797</v>
      </c>
      <c r="N272" s="12">
        <v>67</v>
      </c>
      <c r="X272" s="26">
        <f t="shared" si="4"/>
        <v>8</v>
      </c>
      <c r="Y272" s="25">
        <f t="shared" si="5"/>
        <v>34</v>
      </c>
      <c r="Z272" s="30">
        <v>44797</v>
      </c>
      <c r="AA272" s="25">
        <v>67</v>
      </c>
      <c r="AB272" s="25">
        <f t="shared" si="2"/>
        <v>206</v>
      </c>
      <c r="AC272" s="25">
        <f t="shared" si="3"/>
        <v>366</v>
      </c>
      <c r="AD272" s="31">
        <f t="shared" si="6"/>
        <v>0.32524271844660196</v>
      </c>
      <c r="AE272" s="32">
        <f t="shared" si="7"/>
        <v>0.1830601092896175</v>
      </c>
    </row>
    <row r="273" spans="1:31" x14ac:dyDescent="0.25">
      <c r="A273" s="2"/>
      <c r="B273" s="3"/>
      <c r="M273" s="23">
        <v>44798</v>
      </c>
      <c r="N273" s="12">
        <v>67</v>
      </c>
      <c r="X273" s="26">
        <f t="shared" si="4"/>
        <v>8</v>
      </c>
      <c r="Y273" s="25">
        <f t="shared" si="5"/>
        <v>34</v>
      </c>
      <c r="Z273" s="30">
        <v>44798</v>
      </c>
      <c r="AA273" s="25">
        <v>67</v>
      </c>
      <c r="AB273" s="25">
        <f t="shared" si="2"/>
        <v>206</v>
      </c>
      <c r="AC273" s="25">
        <f t="shared" si="3"/>
        <v>366</v>
      </c>
      <c r="AD273" s="31">
        <f t="shared" si="6"/>
        <v>0.32524271844660196</v>
      </c>
      <c r="AE273" s="32">
        <f t="shared" si="7"/>
        <v>0.1830601092896175</v>
      </c>
    </row>
    <row r="274" spans="1:31" x14ac:dyDescent="0.25">
      <c r="A274" s="2"/>
      <c r="B274" s="3"/>
      <c r="M274" s="23">
        <v>44799</v>
      </c>
      <c r="N274" s="12">
        <v>61</v>
      </c>
      <c r="X274" s="26">
        <f t="shared" si="4"/>
        <v>8</v>
      </c>
      <c r="Y274" s="25">
        <f t="shared" si="5"/>
        <v>34</v>
      </c>
      <c r="Z274" s="30">
        <v>44799</v>
      </c>
      <c r="AA274" s="25">
        <v>61</v>
      </c>
      <c r="AB274" s="25">
        <f t="shared" si="2"/>
        <v>206</v>
      </c>
      <c r="AC274" s="25">
        <f t="shared" si="3"/>
        <v>366</v>
      </c>
      <c r="AD274" s="31">
        <f t="shared" si="6"/>
        <v>0.29611650485436891</v>
      </c>
      <c r="AE274" s="32">
        <f t="shared" si="7"/>
        <v>0.16666666666666666</v>
      </c>
    </row>
    <row r="275" spans="1:31" x14ac:dyDescent="0.25">
      <c r="A275" s="2"/>
      <c r="B275" s="3"/>
      <c r="M275" s="23">
        <v>44800</v>
      </c>
      <c r="N275" s="12">
        <v>63</v>
      </c>
      <c r="X275" s="26">
        <f t="shared" si="4"/>
        <v>8</v>
      </c>
      <c r="Y275" s="25">
        <f t="shared" si="5"/>
        <v>34</v>
      </c>
      <c r="Z275" s="30">
        <v>44800</v>
      </c>
      <c r="AA275" s="25">
        <v>63</v>
      </c>
      <c r="AB275" s="25">
        <f t="shared" si="2"/>
        <v>206</v>
      </c>
      <c r="AC275" s="25">
        <f t="shared" si="3"/>
        <v>366</v>
      </c>
      <c r="AD275" s="31">
        <f t="shared" si="6"/>
        <v>0.30582524271844658</v>
      </c>
      <c r="AE275" s="32">
        <f t="shared" si="7"/>
        <v>0.1721311475409836</v>
      </c>
    </row>
    <row r="276" spans="1:31" x14ac:dyDescent="0.25">
      <c r="A276" s="2"/>
      <c r="B276" s="3"/>
      <c r="M276" s="23">
        <v>44801</v>
      </c>
      <c r="N276" s="12">
        <v>61</v>
      </c>
      <c r="X276" s="26">
        <f t="shared" si="4"/>
        <v>8</v>
      </c>
      <c r="Y276" s="25">
        <f t="shared" si="5"/>
        <v>34</v>
      </c>
      <c r="Z276" s="30">
        <v>44801</v>
      </c>
      <c r="AA276" s="25">
        <v>61</v>
      </c>
      <c r="AB276" s="25">
        <f t="shared" si="2"/>
        <v>206</v>
      </c>
      <c r="AC276" s="25">
        <f t="shared" si="3"/>
        <v>366</v>
      </c>
      <c r="AD276" s="31">
        <f t="shared" si="6"/>
        <v>0.29611650485436891</v>
      </c>
      <c r="AE276" s="32">
        <f t="shared" si="7"/>
        <v>0.16666666666666666</v>
      </c>
    </row>
    <row r="277" spans="1:31" x14ac:dyDescent="0.25">
      <c r="A277" s="2"/>
      <c r="B277" s="3"/>
      <c r="M277" s="23">
        <v>44802</v>
      </c>
      <c r="N277" s="12">
        <v>54</v>
      </c>
      <c r="X277" s="26">
        <f t="shared" si="4"/>
        <v>8</v>
      </c>
      <c r="Y277" s="25">
        <f t="shared" si="5"/>
        <v>35</v>
      </c>
      <c r="Z277" s="30">
        <v>44802</v>
      </c>
      <c r="AA277" s="25">
        <v>54</v>
      </c>
      <c r="AB277" s="25">
        <f t="shared" si="2"/>
        <v>192</v>
      </c>
      <c r="AC277" s="25">
        <f t="shared" si="3"/>
        <v>366</v>
      </c>
      <c r="AD277" s="31">
        <f t="shared" si="6"/>
        <v>0.28125</v>
      </c>
      <c r="AE277" s="32">
        <f t="shared" si="7"/>
        <v>0.14754098360655737</v>
      </c>
    </row>
    <row r="278" spans="1:31" x14ac:dyDescent="0.25">
      <c r="A278" s="2"/>
      <c r="B278" s="3"/>
      <c r="M278" s="23">
        <v>44803</v>
      </c>
      <c r="N278" s="12">
        <v>72</v>
      </c>
      <c r="X278" s="26">
        <f t="shared" si="4"/>
        <v>8</v>
      </c>
      <c r="Y278" s="25">
        <f t="shared" si="5"/>
        <v>35</v>
      </c>
      <c r="Z278" s="30">
        <v>44803</v>
      </c>
      <c r="AA278" s="25">
        <v>72</v>
      </c>
      <c r="AB278" s="25">
        <f t="shared" si="2"/>
        <v>192</v>
      </c>
      <c r="AC278" s="25">
        <f t="shared" si="3"/>
        <v>366</v>
      </c>
      <c r="AD278" s="31">
        <f t="shared" si="6"/>
        <v>0.375</v>
      </c>
      <c r="AE278" s="32">
        <f t="shared" si="7"/>
        <v>0.19672131147540983</v>
      </c>
    </row>
    <row r="279" spans="1:31" x14ac:dyDescent="0.25">
      <c r="A279" s="2"/>
      <c r="B279" s="3"/>
      <c r="M279" s="23">
        <v>44804</v>
      </c>
      <c r="N279" s="12">
        <v>54</v>
      </c>
      <c r="X279" s="26">
        <f t="shared" si="4"/>
        <v>8</v>
      </c>
      <c r="Y279" s="25">
        <f t="shared" si="5"/>
        <v>35</v>
      </c>
      <c r="Z279" s="30">
        <v>44804</v>
      </c>
      <c r="AA279" s="25">
        <v>54</v>
      </c>
      <c r="AB279" s="25">
        <f t="shared" si="2"/>
        <v>192</v>
      </c>
      <c r="AC279" s="25">
        <f t="shared" si="3"/>
        <v>366</v>
      </c>
      <c r="AD279" s="31">
        <f t="shared" si="6"/>
        <v>0.28125</v>
      </c>
      <c r="AE279" s="32">
        <f t="shared" si="7"/>
        <v>0.14754098360655737</v>
      </c>
    </row>
    <row r="280" spans="1:31" x14ac:dyDescent="0.25">
      <c r="A280" s="2"/>
      <c r="B280" s="3"/>
      <c r="M280" s="23">
        <v>44805</v>
      </c>
      <c r="N280" s="12">
        <v>66</v>
      </c>
      <c r="X280" s="26">
        <f t="shared" si="4"/>
        <v>9</v>
      </c>
      <c r="Y280" s="25">
        <f t="shared" si="5"/>
        <v>35</v>
      </c>
      <c r="Z280" s="30">
        <v>44805</v>
      </c>
      <c r="AA280" s="25">
        <v>66</v>
      </c>
      <c r="AB280" s="25">
        <f t="shared" si="2"/>
        <v>192</v>
      </c>
      <c r="AC280" s="25">
        <f t="shared" si="3"/>
        <v>378</v>
      </c>
      <c r="AD280" s="31">
        <f t="shared" si="6"/>
        <v>0.34375</v>
      </c>
      <c r="AE280" s="32">
        <f t="shared" si="7"/>
        <v>0.17460317460317459</v>
      </c>
    </row>
    <row r="281" spans="1:31" x14ac:dyDescent="0.25">
      <c r="A281" s="2"/>
      <c r="B281" s="3"/>
      <c r="M281" s="23">
        <v>44806</v>
      </c>
      <c r="N281" s="12">
        <v>61</v>
      </c>
      <c r="X281" s="26">
        <f t="shared" si="4"/>
        <v>9</v>
      </c>
      <c r="Y281" s="25">
        <f t="shared" si="5"/>
        <v>35</v>
      </c>
      <c r="Z281" s="30">
        <v>44806</v>
      </c>
      <c r="AA281" s="25">
        <v>61</v>
      </c>
      <c r="AB281" s="25">
        <f t="shared" si="2"/>
        <v>192</v>
      </c>
      <c r="AC281" s="25">
        <f t="shared" si="3"/>
        <v>378</v>
      </c>
      <c r="AD281" s="31">
        <f t="shared" si="6"/>
        <v>0.31770833333333331</v>
      </c>
      <c r="AE281" s="32">
        <f t="shared" si="7"/>
        <v>0.16137566137566137</v>
      </c>
    </row>
    <row r="282" spans="1:31" x14ac:dyDescent="0.25">
      <c r="A282" s="2"/>
      <c r="B282" s="3"/>
      <c r="M282" s="23">
        <v>44807</v>
      </c>
      <c r="N282" s="12">
        <v>58</v>
      </c>
      <c r="X282" s="26">
        <f t="shared" si="4"/>
        <v>9</v>
      </c>
      <c r="Y282" s="25">
        <f t="shared" si="5"/>
        <v>35</v>
      </c>
      <c r="Z282" s="30">
        <v>44807</v>
      </c>
      <c r="AA282" s="25">
        <v>58</v>
      </c>
      <c r="AB282" s="25">
        <f t="shared" si="2"/>
        <v>192</v>
      </c>
      <c r="AC282" s="25">
        <f t="shared" si="3"/>
        <v>378</v>
      </c>
      <c r="AD282" s="31">
        <f t="shared" si="6"/>
        <v>0.30208333333333331</v>
      </c>
      <c r="AE282" s="32">
        <f t="shared" si="7"/>
        <v>0.15343915343915343</v>
      </c>
    </row>
    <row r="283" spans="1:31" x14ac:dyDescent="0.25">
      <c r="A283" s="2"/>
      <c r="B283" s="3"/>
      <c r="M283" s="23">
        <v>44808</v>
      </c>
      <c r="N283" s="12">
        <v>64</v>
      </c>
      <c r="X283" s="26">
        <f t="shared" si="4"/>
        <v>9</v>
      </c>
      <c r="Y283" s="25">
        <f t="shared" si="5"/>
        <v>35</v>
      </c>
      <c r="Z283" s="30">
        <v>44808</v>
      </c>
      <c r="AA283" s="25">
        <v>64</v>
      </c>
      <c r="AB283" s="25">
        <f t="shared" ref="AB283:AB346" si="8">VLOOKUP(Y283,Q:R,2,0)</f>
        <v>192</v>
      </c>
      <c r="AC283" s="25">
        <f t="shared" ref="AC283:AC346" si="9">VLOOKUP(X283,T:V,3,0)</f>
        <v>378</v>
      </c>
      <c r="AD283" s="31">
        <f t="shared" si="6"/>
        <v>0.33333333333333331</v>
      </c>
      <c r="AE283" s="32">
        <f t="shared" si="7"/>
        <v>0.1693121693121693</v>
      </c>
    </row>
    <row r="284" spans="1:31" x14ac:dyDescent="0.25">
      <c r="A284" s="2"/>
      <c r="B284" s="3"/>
      <c r="M284" s="23">
        <v>44809</v>
      </c>
      <c r="N284" s="12">
        <v>62</v>
      </c>
      <c r="X284" s="26">
        <f t="shared" ref="X284:X347" si="10">MONTH(Z284)</f>
        <v>9</v>
      </c>
      <c r="Y284" s="25">
        <f t="shared" ref="Y284:Y347" si="11">_xlfn.ISOWEEKNUM(Z284)</f>
        <v>36</v>
      </c>
      <c r="Z284" s="30">
        <v>44809</v>
      </c>
      <c r="AA284" s="25">
        <v>62</v>
      </c>
      <c r="AB284" s="25">
        <f t="shared" si="8"/>
        <v>196</v>
      </c>
      <c r="AC284" s="25">
        <f t="shared" si="9"/>
        <v>378</v>
      </c>
      <c r="AD284" s="31">
        <f t="shared" ref="AD284:AD347" si="12">AA284/AB284</f>
        <v>0.31632653061224492</v>
      </c>
      <c r="AE284" s="32">
        <f t="shared" ref="AE284:AE347" si="13">AA284/AC284</f>
        <v>0.16402116402116401</v>
      </c>
    </row>
    <row r="285" spans="1:31" x14ac:dyDescent="0.25">
      <c r="A285" s="2"/>
      <c r="B285" s="3"/>
      <c r="M285" s="23">
        <v>44810</v>
      </c>
      <c r="N285" s="12">
        <v>46</v>
      </c>
      <c r="X285" s="26">
        <f t="shared" si="10"/>
        <v>9</v>
      </c>
      <c r="Y285" s="25">
        <f t="shared" si="11"/>
        <v>36</v>
      </c>
      <c r="Z285" s="30">
        <v>44810</v>
      </c>
      <c r="AA285" s="25">
        <v>46</v>
      </c>
      <c r="AB285" s="25">
        <f t="shared" si="8"/>
        <v>196</v>
      </c>
      <c r="AC285" s="25">
        <f t="shared" si="9"/>
        <v>378</v>
      </c>
      <c r="AD285" s="31">
        <f t="shared" si="12"/>
        <v>0.23469387755102042</v>
      </c>
      <c r="AE285" s="32">
        <f t="shared" si="13"/>
        <v>0.12169312169312169</v>
      </c>
    </row>
    <row r="286" spans="1:31" x14ac:dyDescent="0.25">
      <c r="A286" s="2"/>
      <c r="B286" s="3"/>
      <c r="M286" s="23">
        <v>44811</v>
      </c>
      <c r="N286" s="12">
        <v>49</v>
      </c>
      <c r="X286" s="26">
        <f t="shared" si="10"/>
        <v>9</v>
      </c>
      <c r="Y286" s="25">
        <f t="shared" si="11"/>
        <v>36</v>
      </c>
      <c r="Z286" s="30">
        <v>44811</v>
      </c>
      <c r="AA286" s="25">
        <v>49</v>
      </c>
      <c r="AB286" s="25">
        <f t="shared" si="8"/>
        <v>196</v>
      </c>
      <c r="AC286" s="25">
        <f t="shared" si="9"/>
        <v>378</v>
      </c>
      <c r="AD286" s="31">
        <f t="shared" si="12"/>
        <v>0.25</v>
      </c>
      <c r="AE286" s="32">
        <f t="shared" si="13"/>
        <v>0.12962962962962962</v>
      </c>
    </row>
    <row r="287" spans="1:31" x14ac:dyDescent="0.25">
      <c r="A287" s="2"/>
      <c r="B287" s="3"/>
      <c r="M287" s="23">
        <v>44812</v>
      </c>
      <c r="N287" s="12">
        <v>59</v>
      </c>
      <c r="X287" s="26">
        <f t="shared" si="10"/>
        <v>9</v>
      </c>
      <c r="Y287" s="25">
        <f t="shared" si="11"/>
        <v>36</v>
      </c>
      <c r="Z287" s="30">
        <v>44812</v>
      </c>
      <c r="AA287" s="25">
        <v>59</v>
      </c>
      <c r="AB287" s="25">
        <f t="shared" si="8"/>
        <v>196</v>
      </c>
      <c r="AC287" s="25">
        <f t="shared" si="9"/>
        <v>378</v>
      </c>
      <c r="AD287" s="31">
        <f t="shared" si="12"/>
        <v>0.30102040816326531</v>
      </c>
      <c r="AE287" s="32">
        <f t="shared" si="13"/>
        <v>0.15608465608465608</v>
      </c>
    </row>
    <row r="288" spans="1:31" x14ac:dyDescent="0.25">
      <c r="A288" s="2"/>
      <c r="B288" s="3"/>
      <c r="M288" s="23">
        <v>44813</v>
      </c>
      <c r="N288" s="12">
        <v>60</v>
      </c>
      <c r="X288" s="26">
        <f t="shared" si="10"/>
        <v>9</v>
      </c>
      <c r="Y288" s="25">
        <f t="shared" si="11"/>
        <v>36</v>
      </c>
      <c r="Z288" s="30">
        <v>44813</v>
      </c>
      <c r="AA288" s="25">
        <v>60</v>
      </c>
      <c r="AB288" s="25">
        <f t="shared" si="8"/>
        <v>196</v>
      </c>
      <c r="AC288" s="25">
        <f t="shared" si="9"/>
        <v>378</v>
      </c>
      <c r="AD288" s="31">
        <f t="shared" si="12"/>
        <v>0.30612244897959184</v>
      </c>
      <c r="AE288" s="32">
        <f t="shared" si="13"/>
        <v>0.15873015873015872</v>
      </c>
    </row>
    <row r="289" spans="1:31" x14ac:dyDescent="0.25">
      <c r="A289" s="2"/>
      <c r="B289" s="3"/>
      <c r="M289" s="23">
        <v>44814</v>
      </c>
      <c r="N289" s="12">
        <v>53</v>
      </c>
      <c r="X289" s="26">
        <f t="shared" si="10"/>
        <v>9</v>
      </c>
      <c r="Y289" s="25">
        <f t="shared" si="11"/>
        <v>36</v>
      </c>
      <c r="Z289" s="30">
        <v>44814</v>
      </c>
      <c r="AA289" s="25">
        <v>53</v>
      </c>
      <c r="AB289" s="25">
        <f t="shared" si="8"/>
        <v>196</v>
      </c>
      <c r="AC289" s="25">
        <f t="shared" si="9"/>
        <v>378</v>
      </c>
      <c r="AD289" s="31">
        <f t="shared" si="12"/>
        <v>0.27040816326530615</v>
      </c>
      <c r="AE289" s="32">
        <f t="shared" si="13"/>
        <v>0.1402116402116402</v>
      </c>
    </row>
    <row r="290" spans="1:31" x14ac:dyDescent="0.25">
      <c r="A290" s="2"/>
      <c r="B290" s="3"/>
      <c r="M290" s="23">
        <v>44815</v>
      </c>
      <c r="N290" s="12">
        <v>61</v>
      </c>
      <c r="X290" s="26">
        <f t="shared" si="10"/>
        <v>9</v>
      </c>
      <c r="Y290" s="25">
        <f t="shared" si="11"/>
        <v>36</v>
      </c>
      <c r="Z290" s="30">
        <v>44815</v>
      </c>
      <c r="AA290" s="25">
        <v>61</v>
      </c>
      <c r="AB290" s="25">
        <f t="shared" si="8"/>
        <v>196</v>
      </c>
      <c r="AC290" s="25">
        <f t="shared" si="9"/>
        <v>378</v>
      </c>
      <c r="AD290" s="31">
        <f t="shared" si="12"/>
        <v>0.31122448979591838</v>
      </c>
      <c r="AE290" s="32">
        <f t="shared" si="13"/>
        <v>0.16137566137566137</v>
      </c>
    </row>
    <row r="291" spans="1:31" x14ac:dyDescent="0.25">
      <c r="A291" s="2"/>
      <c r="B291" s="3"/>
      <c r="M291" s="23">
        <v>44816</v>
      </c>
      <c r="N291" s="12">
        <v>58</v>
      </c>
      <c r="X291" s="26">
        <f t="shared" si="10"/>
        <v>9</v>
      </c>
      <c r="Y291" s="25">
        <f t="shared" si="11"/>
        <v>37</v>
      </c>
      <c r="Z291" s="30">
        <v>44816</v>
      </c>
      <c r="AA291" s="25">
        <v>58</v>
      </c>
      <c r="AB291" s="25">
        <f t="shared" si="8"/>
        <v>205</v>
      </c>
      <c r="AC291" s="25">
        <f t="shared" si="9"/>
        <v>378</v>
      </c>
      <c r="AD291" s="31">
        <f t="shared" si="12"/>
        <v>0.28292682926829266</v>
      </c>
      <c r="AE291" s="32">
        <f t="shared" si="13"/>
        <v>0.15343915343915343</v>
      </c>
    </row>
    <row r="292" spans="1:31" x14ac:dyDescent="0.25">
      <c r="A292" s="2"/>
      <c r="B292" s="3"/>
      <c r="M292" s="23">
        <v>44817</v>
      </c>
      <c r="N292" s="12">
        <v>64</v>
      </c>
      <c r="X292" s="26">
        <f t="shared" si="10"/>
        <v>9</v>
      </c>
      <c r="Y292" s="25">
        <f t="shared" si="11"/>
        <v>37</v>
      </c>
      <c r="Z292" s="30">
        <v>44817</v>
      </c>
      <c r="AA292" s="25">
        <v>64</v>
      </c>
      <c r="AB292" s="25">
        <f t="shared" si="8"/>
        <v>205</v>
      </c>
      <c r="AC292" s="25">
        <f t="shared" si="9"/>
        <v>378</v>
      </c>
      <c r="AD292" s="31">
        <f t="shared" si="12"/>
        <v>0.31219512195121951</v>
      </c>
      <c r="AE292" s="32">
        <f t="shared" si="13"/>
        <v>0.1693121693121693</v>
      </c>
    </row>
    <row r="293" spans="1:31" x14ac:dyDescent="0.25">
      <c r="A293" s="2"/>
      <c r="B293" s="3"/>
      <c r="M293" s="23">
        <v>44818</v>
      </c>
      <c r="N293" s="12">
        <v>65</v>
      </c>
      <c r="X293" s="26">
        <f t="shared" si="10"/>
        <v>9</v>
      </c>
      <c r="Y293" s="25">
        <f t="shared" si="11"/>
        <v>37</v>
      </c>
      <c r="Z293" s="30">
        <v>44818</v>
      </c>
      <c r="AA293" s="25">
        <v>65</v>
      </c>
      <c r="AB293" s="25">
        <f t="shared" si="8"/>
        <v>205</v>
      </c>
      <c r="AC293" s="25">
        <f t="shared" si="9"/>
        <v>378</v>
      </c>
      <c r="AD293" s="31">
        <f t="shared" si="12"/>
        <v>0.31707317073170732</v>
      </c>
      <c r="AE293" s="32">
        <f t="shared" si="13"/>
        <v>0.17195767195767195</v>
      </c>
    </row>
    <row r="294" spans="1:31" x14ac:dyDescent="0.25">
      <c r="A294" s="2"/>
      <c r="B294" s="3"/>
      <c r="M294" s="23">
        <v>44819</v>
      </c>
      <c r="N294" s="12">
        <v>74</v>
      </c>
      <c r="X294" s="26">
        <f t="shared" si="10"/>
        <v>9</v>
      </c>
      <c r="Y294" s="25">
        <f t="shared" si="11"/>
        <v>37</v>
      </c>
      <c r="Z294" s="30">
        <v>44819</v>
      </c>
      <c r="AA294" s="25">
        <v>74</v>
      </c>
      <c r="AB294" s="25">
        <f t="shared" si="8"/>
        <v>205</v>
      </c>
      <c r="AC294" s="25">
        <f t="shared" si="9"/>
        <v>378</v>
      </c>
      <c r="AD294" s="31">
        <f t="shared" si="12"/>
        <v>0.36097560975609755</v>
      </c>
      <c r="AE294" s="32">
        <f t="shared" si="13"/>
        <v>0.19576719576719576</v>
      </c>
    </row>
    <row r="295" spans="1:31" x14ac:dyDescent="0.25">
      <c r="A295" s="2"/>
      <c r="B295" s="3"/>
      <c r="M295" s="23">
        <v>44820</v>
      </c>
      <c r="N295" s="12">
        <v>58</v>
      </c>
      <c r="X295" s="26">
        <f t="shared" si="10"/>
        <v>9</v>
      </c>
      <c r="Y295" s="25">
        <f t="shared" si="11"/>
        <v>37</v>
      </c>
      <c r="Z295" s="30">
        <v>44820</v>
      </c>
      <c r="AA295" s="25">
        <v>58</v>
      </c>
      <c r="AB295" s="25">
        <f t="shared" si="8"/>
        <v>205</v>
      </c>
      <c r="AC295" s="25">
        <f t="shared" si="9"/>
        <v>378</v>
      </c>
      <c r="AD295" s="31">
        <f t="shared" si="12"/>
        <v>0.28292682926829266</v>
      </c>
      <c r="AE295" s="32">
        <f t="shared" si="13"/>
        <v>0.15343915343915343</v>
      </c>
    </row>
    <row r="296" spans="1:31" x14ac:dyDescent="0.25">
      <c r="A296" s="2"/>
      <c r="B296" s="3"/>
      <c r="M296" s="23">
        <v>44821</v>
      </c>
      <c r="N296" s="12">
        <v>62</v>
      </c>
      <c r="X296" s="26">
        <f t="shared" si="10"/>
        <v>9</v>
      </c>
      <c r="Y296" s="25">
        <f t="shared" si="11"/>
        <v>37</v>
      </c>
      <c r="Z296" s="30">
        <v>44821</v>
      </c>
      <c r="AA296" s="25">
        <v>62</v>
      </c>
      <c r="AB296" s="25">
        <f t="shared" si="8"/>
        <v>205</v>
      </c>
      <c r="AC296" s="25">
        <f t="shared" si="9"/>
        <v>378</v>
      </c>
      <c r="AD296" s="31">
        <f t="shared" si="12"/>
        <v>0.30243902439024389</v>
      </c>
      <c r="AE296" s="32">
        <f t="shared" si="13"/>
        <v>0.16402116402116401</v>
      </c>
    </row>
    <row r="297" spans="1:31" x14ac:dyDescent="0.25">
      <c r="A297" s="2"/>
      <c r="B297" s="3"/>
      <c r="M297" s="23">
        <v>44822</v>
      </c>
      <c r="N297" s="12">
        <v>69</v>
      </c>
      <c r="X297" s="26">
        <f t="shared" si="10"/>
        <v>9</v>
      </c>
      <c r="Y297" s="25">
        <f t="shared" si="11"/>
        <v>37</v>
      </c>
      <c r="Z297" s="30">
        <v>44822</v>
      </c>
      <c r="AA297" s="25">
        <v>69</v>
      </c>
      <c r="AB297" s="25">
        <f t="shared" si="8"/>
        <v>205</v>
      </c>
      <c r="AC297" s="25">
        <f t="shared" si="9"/>
        <v>378</v>
      </c>
      <c r="AD297" s="31">
        <f t="shared" si="12"/>
        <v>0.33658536585365856</v>
      </c>
      <c r="AE297" s="32">
        <f t="shared" si="13"/>
        <v>0.18253968253968253</v>
      </c>
    </row>
    <row r="298" spans="1:31" x14ac:dyDescent="0.25">
      <c r="A298" s="2"/>
      <c r="B298" s="3"/>
      <c r="M298" s="23">
        <v>44823</v>
      </c>
      <c r="N298" s="12">
        <v>66</v>
      </c>
      <c r="X298" s="26">
        <f t="shared" si="10"/>
        <v>9</v>
      </c>
      <c r="Y298" s="25">
        <f t="shared" si="11"/>
        <v>38</v>
      </c>
      <c r="Z298" s="30">
        <v>44823</v>
      </c>
      <c r="AA298" s="25">
        <v>66</v>
      </c>
      <c r="AB298" s="25">
        <f t="shared" si="8"/>
        <v>213</v>
      </c>
      <c r="AC298" s="25">
        <f t="shared" si="9"/>
        <v>378</v>
      </c>
      <c r="AD298" s="31">
        <f t="shared" si="12"/>
        <v>0.30985915492957744</v>
      </c>
      <c r="AE298" s="32">
        <f t="shared" si="13"/>
        <v>0.17460317460317459</v>
      </c>
    </row>
    <row r="299" spans="1:31" x14ac:dyDescent="0.25">
      <c r="A299" s="2"/>
      <c r="B299" s="3"/>
      <c r="M299" s="23">
        <v>44824</v>
      </c>
      <c r="N299" s="12">
        <v>67</v>
      </c>
      <c r="X299" s="26">
        <f t="shared" si="10"/>
        <v>9</v>
      </c>
      <c r="Y299" s="25">
        <f t="shared" si="11"/>
        <v>38</v>
      </c>
      <c r="Z299" s="30">
        <v>44824</v>
      </c>
      <c r="AA299" s="25">
        <v>67</v>
      </c>
      <c r="AB299" s="25">
        <f t="shared" si="8"/>
        <v>213</v>
      </c>
      <c r="AC299" s="25">
        <f t="shared" si="9"/>
        <v>378</v>
      </c>
      <c r="AD299" s="31">
        <f t="shared" si="12"/>
        <v>0.31455399061032863</v>
      </c>
      <c r="AE299" s="32">
        <f t="shared" si="13"/>
        <v>0.17724867724867724</v>
      </c>
    </row>
    <row r="300" spans="1:31" x14ac:dyDescent="0.25">
      <c r="A300" s="2"/>
      <c r="B300" s="3"/>
      <c r="M300" s="23">
        <v>44825</v>
      </c>
      <c r="N300" s="12">
        <v>71</v>
      </c>
      <c r="X300" s="26">
        <f t="shared" si="10"/>
        <v>9</v>
      </c>
      <c r="Y300" s="25">
        <f t="shared" si="11"/>
        <v>38</v>
      </c>
      <c r="Z300" s="30">
        <v>44825</v>
      </c>
      <c r="AA300" s="25">
        <v>71</v>
      </c>
      <c r="AB300" s="25">
        <f t="shared" si="8"/>
        <v>213</v>
      </c>
      <c r="AC300" s="25">
        <f t="shared" si="9"/>
        <v>378</v>
      </c>
      <c r="AD300" s="31">
        <f t="shared" si="12"/>
        <v>0.33333333333333331</v>
      </c>
      <c r="AE300" s="32">
        <f t="shared" si="13"/>
        <v>0.18783068783068782</v>
      </c>
    </row>
    <row r="301" spans="1:31" x14ac:dyDescent="0.25">
      <c r="A301" s="2"/>
      <c r="B301" s="3"/>
      <c r="M301" s="23">
        <v>44826</v>
      </c>
      <c r="N301" s="12">
        <v>67</v>
      </c>
      <c r="X301" s="26">
        <f t="shared" si="10"/>
        <v>9</v>
      </c>
      <c r="Y301" s="25">
        <f t="shared" si="11"/>
        <v>38</v>
      </c>
      <c r="Z301" s="30">
        <v>44826</v>
      </c>
      <c r="AA301" s="25">
        <v>67</v>
      </c>
      <c r="AB301" s="25">
        <f t="shared" si="8"/>
        <v>213</v>
      </c>
      <c r="AC301" s="25">
        <f t="shared" si="9"/>
        <v>378</v>
      </c>
      <c r="AD301" s="31">
        <f t="shared" si="12"/>
        <v>0.31455399061032863</v>
      </c>
      <c r="AE301" s="32">
        <f t="shared" si="13"/>
        <v>0.17724867724867724</v>
      </c>
    </row>
    <row r="302" spans="1:31" x14ac:dyDescent="0.25">
      <c r="A302" s="2"/>
      <c r="B302" s="3"/>
      <c r="M302" s="23">
        <v>44827</v>
      </c>
      <c r="N302" s="12">
        <v>55</v>
      </c>
      <c r="X302" s="26">
        <f t="shared" si="10"/>
        <v>9</v>
      </c>
      <c r="Y302" s="25">
        <f t="shared" si="11"/>
        <v>38</v>
      </c>
      <c r="Z302" s="30">
        <v>44827</v>
      </c>
      <c r="AA302" s="25">
        <v>55</v>
      </c>
      <c r="AB302" s="25">
        <f t="shared" si="8"/>
        <v>213</v>
      </c>
      <c r="AC302" s="25">
        <f t="shared" si="9"/>
        <v>378</v>
      </c>
      <c r="AD302" s="31">
        <f t="shared" si="12"/>
        <v>0.25821596244131456</v>
      </c>
      <c r="AE302" s="32">
        <f t="shared" si="13"/>
        <v>0.14550264550264549</v>
      </c>
    </row>
    <row r="303" spans="1:31" x14ac:dyDescent="0.25">
      <c r="A303" s="2"/>
      <c r="B303" s="3"/>
      <c r="M303" s="23">
        <v>44828</v>
      </c>
      <c r="N303" s="12">
        <v>58</v>
      </c>
      <c r="X303" s="26">
        <f t="shared" si="10"/>
        <v>9</v>
      </c>
      <c r="Y303" s="25">
        <f t="shared" si="11"/>
        <v>38</v>
      </c>
      <c r="Z303" s="30">
        <v>44828</v>
      </c>
      <c r="AA303" s="25">
        <v>58</v>
      </c>
      <c r="AB303" s="25">
        <f t="shared" si="8"/>
        <v>213</v>
      </c>
      <c r="AC303" s="25">
        <f t="shared" si="9"/>
        <v>378</v>
      </c>
      <c r="AD303" s="31">
        <f t="shared" si="12"/>
        <v>0.27230046948356806</v>
      </c>
      <c r="AE303" s="32">
        <f t="shared" si="13"/>
        <v>0.15343915343915343</v>
      </c>
    </row>
    <row r="304" spans="1:31" x14ac:dyDescent="0.25">
      <c r="A304" s="2"/>
      <c r="B304" s="3"/>
      <c r="M304" s="23">
        <v>44829</v>
      </c>
      <c r="N304" s="12">
        <v>73</v>
      </c>
      <c r="X304" s="26">
        <f t="shared" si="10"/>
        <v>9</v>
      </c>
      <c r="Y304" s="25">
        <f t="shared" si="11"/>
        <v>38</v>
      </c>
      <c r="Z304" s="30">
        <v>44829</v>
      </c>
      <c r="AA304" s="25">
        <v>73</v>
      </c>
      <c r="AB304" s="25">
        <f t="shared" si="8"/>
        <v>213</v>
      </c>
      <c r="AC304" s="25">
        <f t="shared" si="9"/>
        <v>378</v>
      </c>
      <c r="AD304" s="31">
        <f t="shared" si="12"/>
        <v>0.34272300469483569</v>
      </c>
      <c r="AE304" s="32">
        <f t="shared" si="13"/>
        <v>0.19312169312169311</v>
      </c>
    </row>
    <row r="305" spans="1:31" x14ac:dyDescent="0.25">
      <c r="A305" s="2"/>
      <c r="B305" s="3"/>
      <c r="M305" s="23">
        <v>44830</v>
      </c>
      <c r="N305" s="12">
        <v>58</v>
      </c>
      <c r="X305" s="26">
        <f t="shared" si="10"/>
        <v>9</v>
      </c>
      <c r="Y305" s="25">
        <f t="shared" si="11"/>
        <v>39</v>
      </c>
      <c r="Z305" s="30">
        <v>44830</v>
      </c>
      <c r="AA305" s="25">
        <v>58</v>
      </c>
      <c r="AB305" s="25">
        <f t="shared" si="8"/>
        <v>208</v>
      </c>
      <c r="AC305" s="25">
        <f t="shared" si="9"/>
        <v>378</v>
      </c>
      <c r="AD305" s="31">
        <f t="shared" si="12"/>
        <v>0.27884615384615385</v>
      </c>
      <c r="AE305" s="32">
        <f t="shared" si="13"/>
        <v>0.15343915343915343</v>
      </c>
    </row>
    <row r="306" spans="1:31" x14ac:dyDescent="0.25">
      <c r="A306" s="2"/>
      <c r="B306" s="3"/>
      <c r="M306" s="23">
        <v>44831</v>
      </c>
      <c r="N306" s="12">
        <v>76</v>
      </c>
      <c r="X306" s="26">
        <f t="shared" si="10"/>
        <v>9</v>
      </c>
      <c r="Y306" s="25">
        <f t="shared" si="11"/>
        <v>39</v>
      </c>
      <c r="Z306" s="30">
        <v>44831</v>
      </c>
      <c r="AA306" s="25">
        <v>76</v>
      </c>
      <c r="AB306" s="25">
        <f t="shared" si="8"/>
        <v>208</v>
      </c>
      <c r="AC306" s="25">
        <f t="shared" si="9"/>
        <v>378</v>
      </c>
      <c r="AD306" s="31">
        <f t="shared" si="12"/>
        <v>0.36538461538461536</v>
      </c>
      <c r="AE306" s="32">
        <f t="shared" si="13"/>
        <v>0.20105820105820105</v>
      </c>
    </row>
    <row r="307" spans="1:31" x14ac:dyDescent="0.25">
      <c r="A307" s="2"/>
      <c r="B307" s="3"/>
      <c r="M307" s="23">
        <v>44832</v>
      </c>
      <c r="N307" s="12">
        <v>62</v>
      </c>
      <c r="X307" s="26">
        <f t="shared" si="10"/>
        <v>9</v>
      </c>
      <c r="Y307" s="25">
        <f t="shared" si="11"/>
        <v>39</v>
      </c>
      <c r="Z307" s="30">
        <v>44832</v>
      </c>
      <c r="AA307" s="25">
        <v>62</v>
      </c>
      <c r="AB307" s="25">
        <f t="shared" si="8"/>
        <v>208</v>
      </c>
      <c r="AC307" s="25">
        <f t="shared" si="9"/>
        <v>378</v>
      </c>
      <c r="AD307" s="31">
        <f t="shared" si="12"/>
        <v>0.29807692307692307</v>
      </c>
      <c r="AE307" s="32">
        <f t="shared" si="13"/>
        <v>0.16402116402116401</v>
      </c>
    </row>
    <row r="308" spans="1:31" x14ac:dyDescent="0.25">
      <c r="A308" s="2"/>
      <c r="B308" s="3"/>
      <c r="M308" s="23">
        <v>44833</v>
      </c>
      <c r="N308" s="12">
        <v>66</v>
      </c>
      <c r="X308" s="26">
        <f t="shared" si="10"/>
        <v>9</v>
      </c>
      <c r="Y308" s="25">
        <f t="shared" si="11"/>
        <v>39</v>
      </c>
      <c r="Z308" s="30">
        <v>44833</v>
      </c>
      <c r="AA308" s="25">
        <v>66</v>
      </c>
      <c r="AB308" s="25">
        <f t="shared" si="8"/>
        <v>208</v>
      </c>
      <c r="AC308" s="25">
        <f t="shared" si="9"/>
        <v>378</v>
      </c>
      <c r="AD308" s="31">
        <f t="shared" si="12"/>
        <v>0.31730769230769229</v>
      </c>
      <c r="AE308" s="32">
        <f t="shared" si="13"/>
        <v>0.17460317460317459</v>
      </c>
    </row>
    <row r="309" spans="1:31" x14ac:dyDescent="0.25">
      <c r="A309" s="2"/>
      <c r="B309" s="3"/>
      <c r="M309" s="23">
        <v>44834</v>
      </c>
      <c r="N309" s="12">
        <v>59</v>
      </c>
      <c r="X309" s="26">
        <f t="shared" si="10"/>
        <v>9</v>
      </c>
      <c r="Y309" s="25">
        <f t="shared" si="11"/>
        <v>39</v>
      </c>
      <c r="Z309" s="30">
        <v>44834</v>
      </c>
      <c r="AA309" s="25">
        <v>59</v>
      </c>
      <c r="AB309" s="25">
        <f t="shared" si="8"/>
        <v>208</v>
      </c>
      <c r="AC309" s="25">
        <f t="shared" si="9"/>
        <v>378</v>
      </c>
      <c r="AD309" s="31">
        <f t="shared" si="12"/>
        <v>0.28365384615384615</v>
      </c>
      <c r="AE309" s="32">
        <f t="shared" si="13"/>
        <v>0.15608465608465608</v>
      </c>
    </row>
    <row r="310" spans="1:31" x14ac:dyDescent="0.25">
      <c r="A310" s="2"/>
      <c r="B310" s="3"/>
      <c r="M310" s="23">
        <v>44835</v>
      </c>
      <c r="N310" s="12">
        <v>61</v>
      </c>
      <c r="X310" s="26">
        <f t="shared" si="10"/>
        <v>10</v>
      </c>
      <c r="Y310" s="25">
        <f t="shared" si="11"/>
        <v>39</v>
      </c>
      <c r="Z310" s="30">
        <v>44835</v>
      </c>
      <c r="AA310" s="25">
        <v>61</v>
      </c>
      <c r="AB310" s="25">
        <f t="shared" si="8"/>
        <v>208</v>
      </c>
      <c r="AC310" s="25">
        <f t="shared" si="9"/>
        <v>393</v>
      </c>
      <c r="AD310" s="31">
        <f t="shared" si="12"/>
        <v>0.29326923076923078</v>
      </c>
      <c r="AE310" s="32">
        <f t="shared" si="13"/>
        <v>0.15521628498727735</v>
      </c>
    </row>
    <row r="311" spans="1:31" x14ac:dyDescent="0.25">
      <c r="A311" s="2"/>
      <c r="B311" s="3"/>
      <c r="M311" s="23">
        <v>44836</v>
      </c>
      <c r="N311" s="12">
        <v>52</v>
      </c>
      <c r="X311" s="26">
        <f t="shared" si="10"/>
        <v>10</v>
      </c>
      <c r="Y311" s="25">
        <f t="shared" si="11"/>
        <v>39</v>
      </c>
      <c r="Z311" s="30">
        <v>44836</v>
      </c>
      <c r="AA311" s="25">
        <v>52</v>
      </c>
      <c r="AB311" s="25">
        <f t="shared" si="8"/>
        <v>208</v>
      </c>
      <c r="AC311" s="25">
        <f t="shared" si="9"/>
        <v>393</v>
      </c>
      <c r="AD311" s="31">
        <f t="shared" si="12"/>
        <v>0.25</v>
      </c>
      <c r="AE311" s="32">
        <f t="shared" si="13"/>
        <v>0.13231552162849872</v>
      </c>
    </row>
    <row r="312" spans="1:31" x14ac:dyDescent="0.25">
      <c r="A312" s="2"/>
      <c r="B312" s="3"/>
      <c r="M312" s="23">
        <v>44837</v>
      </c>
      <c r="N312" s="12">
        <v>69</v>
      </c>
      <c r="X312" s="26">
        <f t="shared" si="10"/>
        <v>10</v>
      </c>
      <c r="Y312" s="25">
        <f t="shared" si="11"/>
        <v>40</v>
      </c>
      <c r="Z312" s="30">
        <v>44837</v>
      </c>
      <c r="AA312" s="25">
        <v>69</v>
      </c>
      <c r="AB312" s="25">
        <f t="shared" si="8"/>
        <v>207</v>
      </c>
      <c r="AC312" s="25">
        <f t="shared" si="9"/>
        <v>393</v>
      </c>
      <c r="AD312" s="31">
        <f t="shared" si="12"/>
        <v>0.33333333333333331</v>
      </c>
      <c r="AE312" s="32">
        <f t="shared" si="13"/>
        <v>0.17557251908396945</v>
      </c>
    </row>
    <row r="313" spans="1:31" x14ac:dyDescent="0.25">
      <c r="A313" s="2"/>
      <c r="B313" s="3"/>
      <c r="M313" s="23">
        <v>44838</v>
      </c>
      <c r="N313" s="12">
        <v>70</v>
      </c>
      <c r="X313" s="26">
        <f t="shared" si="10"/>
        <v>10</v>
      </c>
      <c r="Y313" s="25">
        <f t="shared" si="11"/>
        <v>40</v>
      </c>
      <c r="Z313" s="30">
        <v>44838</v>
      </c>
      <c r="AA313" s="25">
        <v>70</v>
      </c>
      <c r="AB313" s="25">
        <f t="shared" si="8"/>
        <v>207</v>
      </c>
      <c r="AC313" s="25">
        <f t="shared" si="9"/>
        <v>393</v>
      </c>
      <c r="AD313" s="31">
        <f t="shared" si="12"/>
        <v>0.33816425120772947</v>
      </c>
      <c r="AE313" s="32">
        <f t="shared" si="13"/>
        <v>0.17811704834605599</v>
      </c>
    </row>
    <row r="314" spans="1:31" x14ac:dyDescent="0.25">
      <c r="A314" s="2"/>
      <c r="B314" s="3"/>
      <c r="M314" s="23">
        <v>44839</v>
      </c>
      <c r="N314" s="12">
        <v>45</v>
      </c>
      <c r="X314" s="26">
        <f t="shared" si="10"/>
        <v>10</v>
      </c>
      <c r="Y314" s="25">
        <f t="shared" si="11"/>
        <v>40</v>
      </c>
      <c r="Z314" s="30">
        <v>44839</v>
      </c>
      <c r="AA314" s="25">
        <v>45</v>
      </c>
      <c r="AB314" s="25">
        <f t="shared" si="8"/>
        <v>207</v>
      </c>
      <c r="AC314" s="25">
        <f t="shared" si="9"/>
        <v>393</v>
      </c>
      <c r="AD314" s="31">
        <f t="shared" si="12"/>
        <v>0.21739130434782608</v>
      </c>
      <c r="AE314" s="32">
        <f t="shared" si="13"/>
        <v>0.11450381679389313</v>
      </c>
    </row>
    <row r="315" spans="1:31" x14ac:dyDescent="0.25">
      <c r="A315" s="2"/>
      <c r="B315" s="3"/>
      <c r="M315" s="23">
        <v>44840</v>
      </c>
      <c r="N315" s="12">
        <v>77</v>
      </c>
      <c r="X315" s="26">
        <f t="shared" si="10"/>
        <v>10</v>
      </c>
      <c r="Y315" s="25">
        <f t="shared" si="11"/>
        <v>40</v>
      </c>
      <c r="Z315" s="30">
        <v>44840</v>
      </c>
      <c r="AA315" s="25">
        <v>77</v>
      </c>
      <c r="AB315" s="25">
        <f t="shared" si="8"/>
        <v>207</v>
      </c>
      <c r="AC315" s="25">
        <f t="shared" si="9"/>
        <v>393</v>
      </c>
      <c r="AD315" s="31">
        <f t="shared" si="12"/>
        <v>0.3719806763285024</v>
      </c>
      <c r="AE315" s="32">
        <f t="shared" si="13"/>
        <v>0.19592875318066158</v>
      </c>
    </row>
    <row r="316" spans="1:31" x14ac:dyDescent="0.25">
      <c r="A316" s="2"/>
      <c r="B316" s="3"/>
      <c r="M316" s="23">
        <v>44841</v>
      </c>
      <c r="N316" s="12">
        <v>61</v>
      </c>
      <c r="X316" s="26">
        <f t="shared" si="10"/>
        <v>10</v>
      </c>
      <c r="Y316" s="25">
        <f t="shared" si="11"/>
        <v>40</v>
      </c>
      <c r="Z316" s="30">
        <v>44841</v>
      </c>
      <c r="AA316" s="25">
        <v>61</v>
      </c>
      <c r="AB316" s="25">
        <f t="shared" si="8"/>
        <v>207</v>
      </c>
      <c r="AC316" s="25">
        <f t="shared" si="9"/>
        <v>393</v>
      </c>
      <c r="AD316" s="31">
        <f t="shared" si="12"/>
        <v>0.29468599033816423</v>
      </c>
      <c r="AE316" s="32">
        <f t="shared" si="13"/>
        <v>0.15521628498727735</v>
      </c>
    </row>
    <row r="317" spans="1:31" x14ac:dyDescent="0.25">
      <c r="A317" s="2"/>
      <c r="B317" s="3"/>
      <c r="M317" s="23">
        <v>44842</v>
      </c>
      <c r="N317" s="12">
        <v>56</v>
      </c>
      <c r="X317" s="26">
        <f t="shared" si="10"/>
        <v>10</v>
      </c>
      <c r="Y317" s="25">
        <f t="shared" si="11"/>
        <v>40</v>
      </c>
      <c r="Z317" s="30">
        <v>44842</v>
      </c>
      <c r="AA317" s="25">
        <v>56</v>
      </c>
      <c r="AB317" s="25">
        <f t="shared" si="8"/>
        <v>207</v>
      </c>
      <c r="AC317" s="25">
        <f t="shared" si="9"/>
        <v>393</v>
      </c>
      <c r="AD317" s="31">
        <f t="shared" si="12"/>
        <v>0.27053140096618356</v>
      </c>
      <c r="AE317" s="32">
        <f t="shared" si="13"/>
        <v>0.14249363867684478</v>
      </c>
    </row>
    <row r="318" spans="1:31" x14ac:dyDescent="0.25">
      <c r="A318" s="2"/>
      <c r="B318" s="3"/>
      <c r="M318" s="23">
        <v>44843</v>
      </c>
      <c r="N318" s="12">
        <v>66</v>
      </c>
      <c r="X318" s="26">
        <f t="shared" si="10"/>
        <v>10</v>
      </c>
      <c r="Y318" s="25">
        <f t="shared" si="11"/>
        <v>40</v>
      </c>
      <c r="Z318" s="30">
        <v>44843</v>
      </c>
      <c r="AA318" s="25">
        <v>66</v>
      </c>
      <c r="AB318" s="25">
        <f t="shared" si="8"/>
        <v>207</v>
      </c>
      <c r="AC318" s="25">
        <f t="shared" si="9"/>
        <v>393</v>
      </c>
      <c r="AD318" s="31">
        <f t="shared" si="12"/>
        <v>0.3188405797101449</v>
      </c>
      <c r="AE318" s="32">
        <f t="shared" si="13"/>
        <v>0.16793893129770993</v>
      </c>
    </row>
    <row r="319" spans="1:31" x14ac:dyDescent="0.25">
      <c r="A319" s="2"/>
      <c r="B319" s="3"/>
      <c r="M319" s="23">
        <v>44844</v>
      </c>
      <c r="N319" s="12">
        <v>51</v>
      </c>
      <c r="X319" s="26">
        <f t="shared" si="10"/>
        <v>10</v>
      </c>
      <c r="Y319" s="25">
        <f t="shared" si="11"/>
        <v>41</v>
      </c>
      <c r="Z319" s="30">
        <v>44844</v>
      </c>
      <c r="AA319" s="25">
        <v>51</v>
      </c>
      <c r="AB319" s="25">
        <f t="shared" si="8"/>
        <v>204</v>
      </c>
      <c r="AC319" s="25">
        <f t="shared" si="9"/>
        <v>393</v>
      </c>
      <c r="AD319" s="31">
        <f t="shared" si="12"/>
        <v>0.25</v>
      </c>
      <c r="AE319" s="32">
        <f t="shared" si="13"/>
        <v>0.12977099236641221</v>
      </c>
    </row>
    <row r="320" spans="1:31" x14ac:dyDescent="0.25">
      <c r="A320" s="2"/>
      <c r="B320" s="3"/>
      <c r="M320" s="23">
        <v>44845</v>
      </c>
      <c r="N320" s="12">
        <v>59</v>
      </c>
      <c r="X320" s="26">
        <f t="shared" si="10"/>
        <v>10</v>
      </c>
      <c r="Y320" s="25">
        <f t="shared" si="11"/>
        <v>41</v>
      </c>
      <c r="Z320" s="30">
        <v>44845</v>
      </c>
      <c r="AA320" s="25">
        <v>59</v>
      </c>
      <c r="AB320" s="25">
        <f t="shared" si="8"/>
        <v>204</v>
      </c>
      <c r="AC320" s="25">
        <f t="shared" si="9"/>
        <v>393</v>
      </c>
      <c r="AD320" s="31">
        <f t="shared" si="12"/>
        <v>0.28921568627450983</v>
      </c>
      <c r="AE320" s="32">
        <f t="shared" si="13"/>
        <v>0.15012722646310434</v>
      </c>
    </row>
    <row r="321" spans="1:31" x14ac:dyDescent="0.25">
      <c r="A321" s="2"/>
      <c r="B321" s="3"/>
      <c r="M321" s="23">
        <v>44846</v>
      </c>
      <c r="N321" s="12">
        <v>65</v>
      </c>
      <c r="X321" s="26">
        <f t="shared" si="10"/>
        <v>10</v>
      </c>
      <c r="Y321" s="25">
        <f t="shared" si="11"/>
        <v>41</v>
      </c>
      <c r="Z321" s="30">
        <v>44846</v>
      </c>
      <c r="AA321" s="25">
        <v>65</v>
      </c>
      <c r="AB321" s="25">
        <f t="shared" si="8"/>
        <v>204</v>
      </c>
      <c r="AC321" s="25">
        <f t="shared" si="9"/>
        <v>393</v>
      </c>
      <c r="AD321" s="31">
        <f t="shared" si="12"/>
        <v>0.31862745098039214</v>
      </c>
      <c r="AE321" s="32">
        <f t="shared" si="13"/>
        <v>0.16539440203562342</v>
      </c>
    </row>
    <row r="322" spans="1:31" x14ac:dyDescent="0.25">
      <c r="A322" s="2"/>
      <c r="B322" s="3"/>
      <c r="M322" s="23">
        <v>44847</v>
      </c>
      <c r="N322" s="12">
        <v>53</v>
      </c>
      <c r="X322" s="26">
        <f t="shared" si="10"/>
        <v>10</v>
      </c>
      <c r="Y322" s="25">
        <f t="shared" si="11"/>
        <v>41</v>
      </c>
      <c r="Z322" s="30">
        <v>44847</v>
      </c>
      <c r="AA322" s="25">
        <v>53</v>
      </c>
      <c r="AB322" s="25">
        <f t="shared" si="8"/>
        <v>204</v>
      </c>
      <c r="AC322" s="25">
        <f t="shared" si="9"/>
        <v>393</v>
      </c>
      <c r="AD322" s="31">
        <f t="shared" si="12"/>
        <v>0.25980392156862747</v>
      </c>
      <c r="AE322" s="32">
        <f t="shared" si="13"/>
        <v>0.13486005089058525</v>
      </c>
    </row>
    <row r="323" spans="1:31" x14ac:dyDescent="0.25">
      <c r="A323" s="2"/>
      <c r="B323" s="3"/>
      <c r="M323" s="23">
        <v>44848</v>
      </c>
      <c r="N323" s="12">
        <v>72</v>
      </c>
      <c r="X323" s="26">
        <f t="shared" si="10"/>
        <v>10</v>
      </c>
      <c r="Y323" s="25">
        <f t="shared" si="11"/>
        <v>41</v>
      </c>
      <c r="Z323" s="30">
        <v>44848</v>
      </c>
      <c r="AA323" s="25">
        <v>72</v>
      </c>
      <c r="AB323" s="25">
        <f t="shared" si="8"/>
        <v>204</v>
      </c>
      <c r="AC323" s="25">
        <f t="shared" si="9"/>
        <v>393</v>
      </c>
      <c r="AD323" s="31">
        <f t="shared" si="12"/>
        <v>0.35294117647058826</v>
      </c>
      <c r="AE323" s="32">
        <f t="shared" si="13"/>
        <v>0.18320610687022901</v>
      </c>
    </row>
    <row r="324" spans="1:31" x14ac:dyDescent="0.25">
      <c r="A324" s="2"/>
      <c r="B324" s="3"/>
      <c r="M324" s="23">
        <v>44849</v>
      </c>
      <c r="N324" s="12">
        <v>62</v>
      </c>
      <c r="X324" s="26">
        <f t="shared" si="10"/>
        <v>10</v>
      </c>
      <c r="Y324" s="25">
        <f t="shared" si="11"/>
        <v>41</v>
      </c>
      <c r="Z324" s="30">
        <v>44849</v>
      </c>
      <c r="AA324" s="25">
        <v>62</v>
      </c>
      <c r="AB324" s="25">
        <f t="shared" si="8"/>
        <v>204</v>
      </c>
      <c r="AC324" s="25">
        <f t="shared" si="9"/>
        <v>393</v>
      </c>
      <c r="AD324" s="31">
        <f t="shared" si="12"/>
        <v>0.30392156862745096</v>
      </c>
      <c r="AE324" s="32">
        <f t="shared" si="13"/>
        <v>0.15776081424936386</v>
      </c>
    </row>
    <row r="325" spans="1:31" x14ac:dyDescent="0.25">
      <c r="A325" s="2"/>
      <c r="B325" s="3"/>
      <c r="M325" s="23">
        <v>44850</v>
      </c>
      <c r="N325" s="12">
        <v>62</v>
      </c>
      <c r="X325" s="26">
        <f t="shared" si="10"/>
        <v>10</v>
      </c>
      <c r="Y325" s="25">
        <f t="shared" si="11"/>
        <v>41</v>
      </c>
      <c r="Z325" s="30">
        <v>44850</v>
      </c>
      <c r="AA325" s="25">
        <v>62</v>
      </c>
      <c r="AB325" s="25">
        <f t="shared" si="8"/>
        <v>204</v>
      </c>
      <c r="AC325" s="25">
        <f t="shared" si="9"/>
        <v>393</v>
      </c>
      <c r="AD325" s="31">
        <f t="shared" si="12"/>
        <v>0.30392156862745096</v>
      </c>
      <c r="AE325" s="32">
        <f t="shared" si="13"/>
        <v>0.15776081424936386</v>
      </c>
    </row>
    <row r="326" spans="1:31" x14ac:dyDescent="0.25">
      <c r="A326" s="2"/>
      <c r="B326" s="3"/>
      <c r="M326" s="23">
        <v>44851</v>
      </c>
      <c r="N326" s="12">
        <v>70</v>
      </c>
      <c r="X326" s="26">
        <f t="shared" si="10"/>
        <v>10</v>
      </c>
      <c r="Y326" s="25">
        <f t="shared" si="11"/>
        <v>42</v>
      </c>
      <c r="Z326" s="30">
        <v>44851</v>
      </c>
      <c r="AA326" s="25">
        <v>70</v>
      </c>
      <c r="AB326" s="25">
        <f t="shared" si="8"/>
        <v>201</v>
      </c>
      <c r="AC326" s="25">
        <f t="shared" si="9"/>
        <v>393</v>
      </c>
      <c r="AD326" s="31">
        <f t="shared" si="12"/>
        <v>0.34825870646766172</v>
      </c>
      <c r="AE326" s="32">
        <f t="shared" si="13"/>
        <v>0.17811704834605599</v>
      </c>
    </row>
    <row r="327" spans="1:31" x14ac:dyDescent="0.25">
      <c r="A327" s="2"/>
      <c r="B327" s="3"/>
      <c r="M327" s="23">
        <v>44852</v>
      </c>
      <c r="N327" s="12">
        <v>62</v>
      </c>
      <c r="X327" s="26">
        <f t="shared" si="10"/>
        <v>10</v>
      </c>
      <c r="Y327" s="25">
        <f t="shared" si="11"/>
        <v>42</v>
      </c>
      <c r="Z327" s="30">
        <v>44852</v>
      </c>
      <c r="AA327" s="25">
        <v>62</v>
      </c>
      <c r="AB327" s="25">
        <f t="shared" si="8"/>
        <v>201</v>
      </c>
      <c r="AC327" s="25">
        <f t="shared" si="9"/>
        <v>393</v>
      </c>
      <c r="AD327" s="31">
        <f t="shared" si="12"/>
        <v>0.30845771144278605</v>
      </c>
      <c r="AE327" s="32">
        <f t="shared" si="13"/>
        <v>0.15776081424936386</v>
      </c>
    </row>
    <row r="328" spans="1:31" x14ac:dyDescent="0.25">
      <c r="A328" s="2"/>
      <c r="B328" s="3"/>
      <c r="M328" s="23">
        <v>44853</v>
      </c>
      <c r="N328" s="12">
        <v>82</v>
      </c>
      <c r="X328" s="26">
        <f t="shared" si="10"/>
        <v>10</v>
      </c>
      <c r="Y328" s="25">
        <f t="shared" si="11"/>
        <v>42</v>
      </c>
      <c r="Z328" s="30">
        <v>44853</v>
      </c>
      <c r="AA328" s="25">
        <v>82</v>
      </c>
      <c r="AB328" s="25">
        <f t="shared" si="8"/>
        <v>201</v>
      </c>
      <c r="AC328" s="25">
        <f t="shared" si="9"/>
        <v>393</v>
      </c>
      <c r="AD328" s="31">
        <f t="shared" si="12"/>
        <v>0.4079601990049751</v>
      </c>
      <c r="AE328" s="32">
        <f t="shared" si="13"/>
        <v>0.20865139949109415</v>
      </c>
    </row>
    <row r="329" spans="1:31" x14ac:dyDescent="0.25">
      <c r="A329" s="2"/>
      <c r="B329" s="3"/>
      <c r="M329" s="23">
        <v>44854</v>
      </c>
      <c r="N329" s="12">
        <v>52</v>
      </c>
      <c r="X329" s="26">
        <f t="shared" si="10"/>
        <v>10</v>
      </c>
      <c r="Y329" s="25">
        <f t="shared" si="11"/>
        <v>42</v>
      </c>
      <c r="Z329" s="30">
        <v>44854</v>
      </c>
      <c r="AA329" s="25">
        <v>52</v>
      </c>
      <c r="AB329" s="25">
        <f t="shared" si="8"/>
        <v>201</v>
      </c>
      <c r="AC329" s="25">
        <f t="shared" si="9"/>
        <v>393</v>
      </c>
      <c r="AD329" s="31">
        <f t="shared" si="12"/>
        <v>0.25870646766169153</v>
      </c>
      <c r="AE329" s="32">
        <f t="shared" si="13"/>
        <v>0.13231552162849872</v>
      </c>
    </row>
    <row r="330" spans="1:31" x14ac:dyDescent="0.25">
      <c r="A330" s="2"/>
      <c r="B330" s="3"/>
      <c r="M330" s="23">
        <v>44855</v>
      </c>
      <c r="N330" s="12">
        <v>65</v>
      </c>
      <c r="X330" s="26">
        <f t="shared" si="10"/>
        <v>10</v>
      </c>
      <c r="Y330" s="25">
        <f t="shared" si="11"/>
        <v>42</v>
      </c>
      <c r="Z330" s="30">
        <v>44855</v>
      </c>
      <c r="AA330" s="25">
        <v>65</v>
      </c>
      <c r="AB330" s="25">
        <f t="shared" si="8"/>
        <v>201</v>
      </c>
      <c r="AC330" s="25">
        <f t="shared" si="9"/>
        <v>393</v>
      </c>
      <c r="AD330" s="31">
        <f t="shared" si="12"/>
        <v>0.32338308457711445</v>
      </c>
      <c r="AE330" s="32">
        <f t="shared" si="13"/>
        <v>0.16539440203562342</v>
      </c>
    </row>
    <row r="331" spans="1:31" x14ac:dyDescent="0.25">
      <c r="A331" s="2"/>
      <c r="B331" s="3"/>
      <c r="M331" s="23">
        <v>44856</v>
      </c>
      <c r="N331" s="12">
        <v>64</v>
      </c>
      <c r="X331" s="26">
        <f t="shared" si="10"/>
        <v>10</v>
      </c>
      <c r="Y331" s="25">
        <f t="shared" si="11"/>
        <v>42</v>
      </c>
      <c r="Z331" s="30">
        <v>44856</v>
      </c>
      <c r="AA331" s="25">
        <v>64</v>
      </c>
      <c r="AB331" s="25">
        <f t="shared" si="8"/>
        <v>201</v>
      </c>
      <c r="AC331" s="25">
        <f t="shared" si="9"/>
        <v>393</v>
      </c>
      <c r="AD331" s="31">
        <f t="shared" si="12"/>
        <v>0.31840796019900497</v>
      </c>
      <c r="AE331" s="32">
        <f t="shared" si="13"/>
        <v>0.16284987277353691</v>
      </c>
    </row>
    <row r="332" spans="1:31" x14ac:dyDescent="0.25">
      <c r="A332" s="2"/>
      <c r="B332" s="3"/>
      <c r="M332" s="23">
        <v>44857</v>
      </c>
      <c r="N332" s="12">
        <v>57</v>
      </c>
      <c r="X332" s="26">
        <f t="shared" si="10"/>
        <v>10</v>
      </c>
      <c r="Y332" s="25">
        <f t="shared" si="11"/>
        <v>42</v>
      </c>
      <c r="Z332" s="30">
        <v>44857</v>
      </c>
      <c r="AA332" s="25">
        <v>57</v>
      </c>
      <c r="AB332" s="25">
        <f t="shared" si="8"/>
        <v>201</v>
      </c>
      <c r="AC332" s="25">
        <f t="shared" si="9"/>
        <v>393</v>
      </c>
      <c r="AD332" s="31">
        <f t="shared" si="12"/>
        <v>0.28358208955223879</v>
      </c>
      <c r="AE332" s="32">
        <f t="shared" si="13"/>
        <v>0.14503816793893129</v>
      </c>
    </row>
    <row r="333" spans="1:31" x14ac:dyDescent="0.25">
      <c r="A333" s="2"/>
      <c r="B333" s="3"/>
      <c r="M333" s="23">
        <v>44858</v>
      </c>
      <c r="N333" s="12">
        <v>58</v>
      </c>
      <c r="X333" s="26">
        <f t="shared" si="10"/>
        <v>10</v>
      </c>
      <c r="Y333" s="25">
        <f t="shared" si="11"/>
        <v>43</v>
      </c>
      <c r="Z333" s="30">
        <v>44858</v>
      </c>
      <c r="AA333" s="25">
        <v>58</v>
      </c>
      <c r="AB333" s="25">
        <f t="shared" si="8"/>
        <v>213</v>
      </c>
      <c r="AC333" s="25">
        <f t="shared" si="9"/>
        <v>393</v>
      </c>
      <c r="AD333" s="31">
        <f t="shared" si="12"/>
        <v>0.27230046948356806</v>
      </c>
      <c r="AE333" s="32">
        <f t="shared" si="13"/>
        <v>0.1475826972010178</v>
      </c>
    </row>
    <row r="334" spans="1:31" x14ac:dyDescent="0.25">
      <c r="A334" s="2"/>
      <c r="B334" s="3"/>
      <c r="M334" s="23">
        <v>44859</v>
      </c>
      <c r="N334" s="12">
        <v>66</v>
      </c>
      <c r="X334" s="26">
        <f t="shared" si="10"/>
        <v>10</v>
      </c>
      <c r="Y334" s="25">
        <f t="shared" si="11"/>
        <v>43</v>
      </c>
      <c r="Z334" s="30">
        <v>44859</v>
      </c>
      <c r="AA334" s="25">
        <v>66</v>
      </c>
      <c r="AB334" s="25">
        <f t="shared" si="8"/>
        <v>213</v>
      </c>
      <c r="AC334" s="25">
        <f t="shared" si="9"/>
        <v>393</v>
      </c>
      <c r="AD334" s="31">
        <f t="shared" si="12"/>
        <v>0.30985915492957744</v>
      </c>
      <c r="AE334" s="32">
        <f t="shared" si="13"/>
        <v>0.16793893129770993</v>
      </c>
    </row>
    <row r="335" spans="1:31" x14ac:dyDescent="0.25">
      <c r="A335" s="2"/>
      <c r="B335" s="3"/>
      <c r="M335" s="23">
        <v>44860</v>
      </c>
      <c r="N335" s="12">
        <v>60</v>
      </c>
      <c r="X335" s="26">
        <f t="shared" si="10"/>
        <v>10</v>
      </c>
      <c r="Y335" s="25">
        <f t="shared" si="11"/>
        <v>43</v>
      </c>
      <c r="Z335" s="30">
        <v>44860</v>
      </c>
      <c r="AA335" s="25">
        <v>60</v>
      </c>
      <c r="AB335" s="25">
        <f t="shared" si="8"/>
        <v>213</v>
      </c>
      <c r="AC335" s="25">
        <f t="shared" si="9"/>
        <v>393</v>
      </c>
      <c r="AD335" s="31">
        <f t="shared" si="12"/>
        <v>0.28169014084507044</v>
      </c>
      <c r="AE335" s="32">
        <f t="shared" si="13"/>
        <v>0.15267175572519084</v>
      </c>
    </row>
    <row r="336" spans="1:31" x14ac:dyDescent="0.25">
      <c r="A336" s="2"/>
      <c r="B336" s="3"/>
      <c r="M336" s="23">
        <v>44861</v>
      </c>
      <c r="N336" s="12">
        <v>55</v>
      </c>
      <c r="X336" s="26">
        <f t="shared" si="10"/>
        <v>10</v>
      </c>
      <c r="Y336" s="25">
        <f t="shared" si="11"/>
        <v>43</v>
      </c>
      <c r="Z336" s="30">
        <v>44861</v>
      </c>
      <c r="AA336" s="25">
        <v>55</v>
      </c>
      <c r="AB336" s="25">
        <f t="shared" si="8"/>
        <v>213</v>
      </c>
      <c r="AC336" s="25">
        <f t="shared" si="9"/>
        <v>393</v>
      </c>
      <c r="AD336" s="31">
        <f t="shared" si="12"/>
        <v>0.25821596244131456</v>
      </c>
      <c r="AE336" s="32">
        <f t="shared" si="13"/>
        <v>0.13994910941475827</v>
      </c>
    </row>
    <row r="337" spans="1:31" x14ac:dyDescent="0.25">
      <c r="A337" s="2"/>
      <c r="B337" s="3"/>
      <c r="M337" s="23">
        <v>44862</v>
      </c>
      <c r="N337" s="12">
        <v>65</v>
      </c>
      <c r="X337" s="26">
        <f t="shared" si="10"/>
        <v>10</v>
      </c>
      <c r="Y337" s="25">
        <f t="shared" si="11"/>
        <v>43</v>
      </c>
      <c r="Z337" s="30">
        <v>44862</v>
      </c>
      <c r="AA337" s="25">
        <v>65</v>
      </c>
      <c r="AB337" s="25">
        <f t="shared" si="8"/>
        <v>213</v>
      </c>
      <c r="AC337" s="25">
        <f t="shared" si="9"/>
        <v>393</v>
      </c>
      <c r="AD337" s="31">
        <f t="shared" si="12"/>
        <v>0.30516431924882631</v>
      </c>
      <c r="AE337" s="32">
        <f t="shared" si="13"/>
        <v>0.16539440203562342</v>
      </c>
    </row>
    <row r="338" spans="1:31" x14ac:dyDescent="0.25">
      <c r="A338" s="2"/>
      <c r="B338" s="3"/>
      <c r="M338" s="23">
        <v>44863</v>
      </c>
      <c r="N338" s="12">
        <v>54</v>
      </c>
      <c r="X338" s="26">
        <f t="shared" si="10"/>
        <v>10</v>
      </c>
      <c r="Y338" s="25">
        <f t="shared" si="11"/>
        <v>43</v>
      </c>
      <c r="Z338" s="30">
        <v>44863</v>
      </c>
      <c r="AA338" s="25">
        <v>54</v>
      </c>
      <c r="AB338" s="25">
        <f t="shared" si="8"/>
        <v>213</v>
      </c>
      <c r="AC338" s="25">
        <f t="shared" si="9"/>
        <v>393</v>
      </c>
      <c r="AD338" s="31">
        <f t="shared" si="12"/>
        <v>0.25352112676056338</v>
      </c>
      <c r="AE338" s="32">
        <f t="shared" si="13"/>
        <v>0.13740458015267176</v>
      </c>
    </row>
    <row r="339" spans="1:31" x14ac:dyDescent="0.25">
      <c r="A339" s="2"/>
      <c r="B339" s="3"/>
      <c r="M339" s="23">
        <v>44864</v>
      </c>
      <c r="N339" s="12">
        <v>66</v>
      </c>
      <c r="X339" s="26">
        <f t="shared" si="10"/>
        <v>10</v>
      </c>
      <c r="Y339" s="25">
        <f t="shared" si="11"/>
        <v>43</v>
      </c>
      <c r="Z339" s="30">
        <v>44864</v>
      </c>
      <c r="AA339" s="25">
        <v>66</v>
      </c>
      <c r="AB339" s="25">
        <f t="shared" si="8"/>
        <v>213</v>
      </c>
      <c r="AC339" s="25">
        <f t="shared" si="9"/>
        <v>393</v>
      </c>
      <c r="AD339" s="31">
        <f t="shared" si="12"/>
        <v>0.30985915492957744</v>
      </c>
      <c r="AE339" s="32">
        <f t="shared" si="13"/>
        <v>0.16793893129770993</v>
      </c>
    </row>
    <row r="340" spans="1:31" x14ac:dyDescent="0.25">
      <c r="A340" s="2"/>
      <c r="B340" s="3"/>
      <c r="M340" s="23">
        <v>44865</v>
      </c>
      <c r="N340" s="12">
        <v>72</v>
      </c>
      <c r="X340" s="26">
        <f t="shared" si="10"/>
        <v>10</v>
      </c>
      <c r="Y340" s="25">
        <f t="shared" si="11"/>
        <v>44</v>
      </c>
      <c r="Z340" s="30">
        <v>44865</v>
      </c>
      <c r="AA340" s="25">
        <v>72</v>
      </c>
      <c r="AB340" s="25">
        <f t="shared" si="8"/>
        <v>214</v>
      </c>
      <c r="AC340" s="25">
        <f t="shared" si="9"/>
        <v>393</v>
      </c>
      <c r="AD340" s="31">
        <f t="shared" si="12"/>
        <v>0.3364485981308411</v>
      </c>
      <c r="AE340" s="32">
        <f t="shared" si="13"/>
        <v>0.18320610687022901</v>
      </c>
    </row>
    <row r="341" spans="1:31" x14ac:dyDescent="0.25">
      <c r="A341" s="2"/>
      <c r="B341" s="3"/>
      <c r="M341" s="23">
        <v>44866</v>
      </c>
      <c r="N341" s="12">
        <v>58</v>
      </c>
      <c r="X341" s="26">
        <f t="shared" si="10"/>
        <v>11</v>
      </c>
      <c r="Y341" s="25">
        <f t="shared" si="11"/>
        <v>44</v>
      </c>
      <c r="Z341" s="30">
        <v>44866</v>
      </c>
      <c r="AA341" s="25">
        <v>58</v>
      </c>
      <c r="AB341" s="25">
        <f t="shared" si="8"/>
        <v>214</v>
      </c>
      <c r="AC341" s="25">
        <f t="shared" si="9"/>
        <v>426</v>
      </c>
      <c r="AD341" s="31">
        <f t="shared" si="12"/>
        <v>0.27102803738317754</v>
      </c>
      <c r="AE341" s="32">
        <f t="shared" si="13"/>
        <v>0.13615023474178403</v>
      </c>
    </row>
    <row r="342" spans="1:31" x14ac:dyDescent="0.25">
      <c r="A342" s="2"/>
      <c r="B342" s="3"/>
      <c r="M342" s="23">
        <v>44867</v>
      </c>
      <c r="N342" s="12">
        <v>55</v>
      </c>
      <c r="X342" s="26">
        <f t="shared" si="10"/>
        <v>11</v>
      </c>
      <c r="Y342" s="25">
        <f t="shared" si="11"/>
        <v>44</v>
      </c>
      <c r="Z342" s="30">
        <v>44867</v>
      </c>
      <c r="AA342" s="25">
        <v>55</v>
      </c>
      <c r="AB342" s="25">
        <f t="shared" si="8"/>
        <v>214</v>
      </c>
      <c r="AC342" s="25">
        <f t="shared" si="9"/>
        <v>426</v>
      </c>
      <c r="AD342" s="31">
        <f t="shared" si="12"/>
        <v>0.2570093457943925</v>
      </c>
      <c r="AE342" s="32">
        <f t="shared" si="13"/>
        <v>0.12910798122065728</v>
      </c>
    </row>
    <row r="343" spans="1:31" x14ac:dyDescent="0.25">
      <c r="A343" s="2"/>
      <c r="B343" s="3"/>
      <c r="M343" s="23">
        <v>44868</v>
      </c>
      <c r="N343" s="12">
        <v>56</v>
      </c>
      <c r="X343" s="26">
        <f t="shared" si="10"/>
        <v>11</v>
      </c>
      <c r="Y343" s="25">
        <f t="shared" si="11"/>
        <v>44</v>
      </c>
      <c r="Z343" s="30">
        <v>44868</v>
      </c>
      <c r="AA343" s="25">
        <v>56</v>
      </c>
      <c r="AB343" s="25">
        <f t="shared" si="8"/>
        <v>214</v>
      </c>
      <c r="AC343" s="25">
        <f t="shared" si="9"/>
        <v>426</v>
      </c>
      <c r="AD343" s="31">
        <f t="shared" si="12"/>
        <v>0.26168224299065418</v>
      </c>
      <c r="AE343" s="32">
        <f t="shared" si="13"/>
        <v>0.13145539906103287</v>
      </c>
    </row>
    <row r="344" spans="1:31" x14ac:dyDescent="0.25">
      <c r="A344" s="2"/>
      <c r="B344" s="3"/>
      <c r="M344" s="23">
        <v>44869</v>
      </c>
      <c r="N344" s="12">
        <v>63</v>
      </c>
      <c r="X344" s="26">
        <f t="shared" si="10"/>
        <v>11</v>
      </c>
      <c r="Y344" s="25">
        <f t="shared" si="11"/>
        <v>44</v>
      </c>
      <c r="Z344" s="30">
        <v>44869</v>
      </c>
      <c r="AA344" s="25">
        <v>63</v>
      </c>
      <c r="AB344" s="25">
        <f t="shared" si="8"/>
        <v>214</v>
      </c>
      <c r="AC344" s="25">
        <f t="shared" si="9"/>
        <v>426</v>
      </c>
      <c r="AD344" s="31">
        <f t="shared" si="12"/>
        <v>0.29439252336448596</v>
      </c>
      <c r="AE344" s="32">
        <f t="shared" si="13"/>
        <v>0.14788732394366197</v>
      </c>
    </row>
    <row r="345" spans="1:31" x14ac:dyDescent="0.25">
      <c r="A345" s="2"/>
      <c r="B345" s="3"/>
      <c r="M345" s="23">
        <v>44870</v>
      </c>
      <c r="N345" s="12">
        <v>69</v>
      </c>
      <c r="X345" s="26">
        <f t="shared" si="10"/>
        <v>11</v>
      </c>
      <c r="Y345" s="25">
        <f t="shared" si="11"/>
        <v>44</v>
      </c>
      <c r="Z345" s="30">
        <v>44870</v>
      </c>
      <c r="AA345" s="25">
        <v>69</v>
      </c>
      <c r="AB345" s="25">
        <f t="shared" si="8"/>
        <v>214</v>
      </c>
      <c r="AC345" s="25">
        <f t="shared" si="9"/>
        <v>426</v>
      </c>
      <c r="AD345" s="31">
        <f t="shared" si="12"/>
        <v>0.32242990654205606</v>
      </c>
      <c r="AE345" s="32">
        <f t="shared" si="13"/>
        <v>0.1619718309859155</v>
      </c>
    </row>
    <row r="346" spans="1:31" x14ac:dyDescent="0.25">
      <c r="A346" s="2"/>
      <c r="B346" s="3"/>
      <c r="M346" s="23">
        <v>44871</v>
      </c>
      <c r="N346" s="12">
        <v>62</v>
      </c>
      <c r="X346" s="26">
        <f t="shared" si="10"/>
        <v>11</v>
      </c>
      <c r="Y346" s="25">
        <f t="shared" si="11"/>
        <v>44</v>
      </c>
      <c r="Z346" s="30">
        <v>44871</v>
      </c>
      <c r="AA346" s="25">
        <v>62</v>
      </c>
      <c r="AB346" s="25">
        <f t="shared" si="8"/>
        <v>214</v>
      </c>
      <c r="AC346" s="25">
        <f t="shared" si="9"/>
        <v>426</v>
      </c>
      <c r="AD346" s="31">
        <f t="shared" si="12"/>
        <v>0.28971962616822428</v>
      </c>
      <c r="AE346" s="32">
        <f t="shared" si="13"/>
        <v>0.14553990610328638</v>
      </c>
    </row>
    <row r="347" spans="1:31" x14ac:dyDescent="0.25">
      <c r="A347" s="2"/>
      <c r="B347" s="3"/>
      <c r="M347" s="23">
        <v>44872</v>
      </c>
      <c r="N347" s="12">
        <v>60</v>
      </c>
      <c r="X347" s="26">
        <f t="shared" si="10"/>
        <v>11</v>
      </c>
      <c r="Y347" s="25">
        <f t="shared" si="11"/>
        <v>45</v>
      </c>
      <c r="Z347" s="30">
        <v>44872</v>
      </c>
      <c r="AA347" s="25">
        <v>60</v>
      </c>
      <c r="AB347" s="25">
        <f t="shared" ref="AB347:AB410" si="14">VLOOKUP(Y347,Q:R,2,0)</f>
        <v>203</v>
      </c>
      <c r="AC347" s="25">
        <f t="shared" ref="AC347:AC410" si="15">VLOOKUP(X347,T:V,3,0)</f>
        <v>426</v>
      </c>
      <c r="AD347" s="31">
        <f t="shared" si="12"/>
        <v>0.29556650246305421</v>
      </c>
      <c r="AE347" s="32">
        <f t="shared" si="13"/>
        <v>0.14084507042253522</v>
      </c>
    </row>
    <row r="348" spans="1:31" x14ac:dyDescent="0.25">
      <c r="A348" s="2"/>
      <c r="B348" s="3"/>
      <c r="M348" s="23">
        <v>44873</v>
      </c>
      <c r="N348" s="12">
        <v>60</v>
      </c>
      <c r="X348" s="26">
        <f t="shared" ref="X348:X411" si="16">MONTH(Z348)</f>
        <v>11</v>
      </c>
      <c r="Y348" s="25">
        <f t="shared" ref="Y348:Y411" si="17">_xlfn.ISOWEEKNUM(Z348)</f>
        <v>45</v>
      </c>
      <c r="Z348" s="30">
        <v>44873</v>
      </c>
      <c r="AA348" s="25">
        <v>60</v>
      </c>
      <c r="AB348" s="25">
        <f t="shared" si="14"/>
        <v>203</v>
      </c>
      <c r="AC348" s="25">
        <f t="shared" si="15"/>
        <v>426</v>
      </c>
      <c r="AD348" s="31">
        <f t="shared" ref="AD348:AD411" si="18">AA348/AB348</f>
        <v>0.29556650246305421</v>
      </c>
      <c r="AE348" s="32">
        <f t="shared" ref="AE348:AE411" si="19">AA348/AC348</f>
        <v>0.14084507042253522</v>
      </c>
    </row>
    <row r="349" spans="1:31" x14ac:dyDescent="0.25">
      <c r="A349" s="2"/>
      <c r="B349" s="3"/>
      <c r="M349" s="23">
        <v>44874</v>
      </c>
      <c r="N349" s="12">
        <v>60</v>
      </c>
      <c r="X349" s="26">
        <f t="shared" si="16"/>
        <v>11</v>
      </c>
      <c r="Y349" s="25">
        <f t="shared" si="17"/>
        <v>45</v>
      </c>
      <c r="Z349" s="30">
        <v>44874</v>
      </c>
      <c r="AA349" s="25">
        <v>60</v>
      </c>
      <c r="AB349" s="25">
        <f t="shared" si="14"/>
        <v>203</v>
      </c>
      <c r="AC349" s="25">
        <f t="shared" si="15"/>
        <v>426</v>
      </c>
      <c r="AD349" s="31">
        <f t="shared" si="18"/>
        <v>0.29556650246305421</v>
      </c>
      <c r="AE349" s="32">
        <f t="shared" si="19"/>
        <v>0.14084507042253522</v>
      </c>
    </row>
    <row r="350" spans="1:31" x14ac:dyDescent="0.25">
      <c r="A350" s="2"/>
      <c r="B350" s="3"/>
      <c r="M350" s="23">
        <v>44875</v>
      </c>
      <c r="N350" s="12">
        <v>55</v>
      </c>
      <c r="X350" s="26">
        <f t="shared" si="16"/>
        <v>11</v>
      </c>
      <c r="Y350" s="25">
        <f t="shared" si="17"/>
        <v>45</v>
      </c>
      <c r="Z350" s="30">
        <v>44875</v>
      </c>
      <c r="AA350" s="25">
        <v>55</v>
      </c>
      <c r="AB350" s="25">
        <f t="shared" si="14"/>
        <v>203</v>
      </c>
      <c r="AC350" s="25">
        <f t="shared" si="15"/>
        <v>426</v>
      </c>
      <c r="AD350" s="31">
        <f t="shared" si="18"/>
        <v>0.27093596059113301</v>
      </c>
      <c r="AE350" s="32">
        <f t="shared" si="19"/>
        <v>0.12910798122065728</v>
      </c>
    </row>
    <row r="351" spans="1:31" x14ac:dyDescent="0.25">
      <c r="A351" s="2"/>
      <c r="B351" s="3"/>
      <c r="M351" s="23">
        <v>44876</v>
      </c>
      <c r="N351" s="12">
        <v>62</v>
      </c>
      <c r="X351" s="26">
        <f t="shared" si="16"/>
        <v>11</v>
      </c>
      <c r="Y351" s="25">
        <f t="shared" si="17"/>
        <v>45</v>
      </c>
      <c r="Z351" s="30">
        <v>44876</v>
      </c>
      <c r="AA351" s="25">
        <v>62</v>
      </c>
      <c r="AB351" s="25">
        <f t="shared" si="14"/>
        <v>203</v>
      </c>
      <c r="AC351" s="25">
        <f t="shared" si="15"/>
        <v>426</v>
      </c>
      <c r="AD351" s="31">
        <f t="shared" si="18"/>
        <v>0.30541871921182268</v>
      </c>
      <c r="AE351" s="32">
        <f t="shared" si="19"/>
        <v>0.14553990610328638</v>
      </c>
    </row>
    <row r="352" spans="1:31" x14ac:dyDescent="0.25">
      <c r="A352" s="2"/>
      <c r="B352" s="3"/>
      <c r="M352" s="23">
        <v>44877</v>
      </c>
      <c r="N352" s="12">
        <v>53</v>
      </c>
      <c r="X352" s="26">
        <f t="shared" si="16"/>
        <v>11</v>
      </c>
      <c r="Y352" s="25">
        <f t="shared" si="17"/>
        <v>45</v>
      </c>
      <c r="Z352" s="30">
        <v>44877</v>
      </c>
      <c r="AA352" s="25">
        <v>53</v>
      </c>
      <c r="AB352" s="25">
        <f t="shared" si="14"/>
        <v>203</v>
      </c>
      <c r="AC352" s="25">
        <f t="shared" si="15"/>
        <v>426</v>
      </c>
      <c r="AD352" s="31">
        <f t="shared" si="18"/>
        <v>0.26108374384236455</v>
      </c>
      <c r="AE352" s="32">
        <f t="shared" si="19"/>
        <v>0.12441314553990611</v>
      </c>
    </row>
    <row r="353" spans="1:31" x14ac:dyDescent="0.25">
      <c r="A353" s="2"/>
      <c r="B353" s="3"/>
      <c r="M353" s="23">
        <v>44878</v>
      </c>
      <c r="N353" s="12">
        <v>54</v>
      </c>
      <c r="X353" s="26">
        <f t="shared" si="16"/>
        <v>11</v>
      </c>
      <c r="Y353" s="25">
        <f t="shared" si="17"/>
        <v>45</v>
      </c>
      <c r="Z353" s="30">
        <v>44878</v>
      </c>
      <c r="AA353" s="25">
        <v>54</v>
      </c>
      <c r="AB353" s="25">
        <f t="shared" si="14"/>
        <v>203</v>
      </c>
      <c r="AC353" s="25">
        <f t="shared" si="15"/>
        <v>426</v>
      </c>
      <c r="AD353" s="31">
        <f t="shared" si="18"/>
        <v>0.26600985221674878</v>
      </c>
      <c r="AE353" s="32">
        <f t="shared" si="19"/>
        <v>0.12676056338028169</v>
      </c>
    </row>
    <row r="354" spans="1:31" x14ac:dyDescent="0.25">
      <c r="A354" s="2"/>
      <c r="B354" s="3"/>
      <c r="M354" s="23">
        <v>44879</v>
      </c>
      <c r="N354" s="12">
        <v>46</v>
      </c>
      <c r="X354" s="26">
        <f t="shared" si="16"/>
        <v>11</v>
      </c>
      <c r="Y354" s="25">
        <f t="shared" si="17"/>
        <v>46</v>
      </c>
      <c r="Z354" s="30">
        <v>44879</v>
      </c>
      <c r="AA354" s="25">
        <v>46</v>
      </c>
      <c r="AB354" s="25">
        <f t="shared" si="14"/>
        <v>202</v>
      </c>
      <c r="AC354" s="25">
        <f t="shared" si="15"/>
        <v>426</v>
      </c>
      <c r="AD354" s="31">
        <f t="shared" si="18"/>
        <v>0.22772277227722773</v>
      </c>
      <c r="AE354" s="32">
        <f t="shared" si="19"/>
        <v>0.107981220657277</v>
      </c>
    </row>
    <row r="355" spans="1:31" x14ac:dyDescent="0.25">
      <c r="A355" s="2"/>
      <c r="B355" s="3"/>
      <c r="M355" s="23">
        <v>44880</v>
      </c>
      <c r="N355" s="12">
        <v>55</v>
      </c>
      <c r="X355" s="26">
        <f t="shared" si="16"/>
        <v>11</v>
      </c>
      <c r="Y355" s="25">
        <f t="shared" si="17"/>
        <v>46</v>
      </c>
      <c r="Z355" s="30">
        <v>44880</v>
      </c>
      <c r="AA355" s="25">
        <v>55</v>
      </c>
      <c r="AB355" s="25">
        <f t="shared" si="14"/>
        <v>202</v>
      </c>
      <c r="AC355" s="25">
        <f t="shared" si="15"/>
        <v>426</v>
      </c>
      <c r="AD355" s="31">
        <f t="shared" si="18"/>
        <v>0.2722772277227723</v>
      </c>
      <c r="AE355" s="32">
        <f t="shared" si="19"/>
        <v>0.12910798122065728</v>
      </c>
    </row>
    <row r="356" spans="1:31" x14ac:dyDescent="0.25">
      <c r="A356" s="2"/>
      <c r="B356" s="3"/>
      <c r="M356" s="23">
        <v>44881</v>
      </c>
      <c r="N356" s="12">
        <v>51</v>
      </c>
      <c r="X356" s="26">
        <f t="shared" si="16"/>
        <v>11</v>
      </c>
      <c r="Y356" s="25">
        <f t="shared" si="17"/>
        <v>46</v>
      </c>
      <c r="Z356" s="30">
        <v>44881</v>
      </c>
      <c r="AA356" s="25">
        <v>51</v>
      </c>
      <c r="AB356" s="25">
        <f t="shared" si="14"/>
        <v>202</v>
      </c>
      <c r="AC356" s="25">
        <f t="shared" si="15"/>
        <v>426</v>
      </c>
      <c r="AD356" s="31">
        <f t="shared" si="18"/>
        <v>0.25247524752475248</v>
      </c>
      <c r="AE356" s="32">
        <f t="shared" si="19"/>
        <v>0.11971830985915492</v>
      </c>
    </row>
    <row r="357" spans="1:31" x14ac:dyDescent="0.25">
      <c r="A357" s="2"/>
      <c r="B357" s="3"/>
      <c r="M357" s="23">
        <v>44882</v>
      </c>
      <c r="N357" s="12">
        <v>58</v>
      </c>
      <c r="X357" s="26">
        <f t="shared" si="16"/>
        <v>11</v>
      </c>
      <c r="Y357" s="25">
        <f t="shared" si="17"/>
        <v>46</v>
      </c>
      <c r="Z357" s="30">
        <v>44882</v>
      </c>
      <c r="AA357" s="25">
        <v>58</v>
      </c>
      <c r="AB357" s="25">
        <f t="shared" si="14"/>
        <v>202</v>
      </c>
      <c r="AC357" s="25">
        <f t="shared" si="15"/>
        <v>426</v>
      </c>
      <c r="AD357" s="31">
        <f t="shared" si="18"/>
        <v>0.28712871287128711</v>
      </c>
      <c r="AE357" s="32">
        <f t="shared" si="19"/>
        <v>0.13615023474178403</v>
      </c>
    </row>
    <row r="358" spans="1:31" x14ac:dyDescent="0.25">
      <c r="A358" s="2"/>
      <c r="B358" s="3"/>
      <c r="M358" s="23">
        <v>44883</v>
      </c>
      <c r="N358" s="12">
        <v>51</v>
      </c>
      <c r="X358" s="26">
        <f t="shared" si="16"/>
        <v>11</v>
      </c>
      <c r="Y358" s="25">
        <f t="shared" si="17"/>
        <v>46</v>
      </c>
      <c r="Z358" s="30">
        <v>44883</v>
      </c>
      <c r="AA358" s="25">
        <v>51</v>
      </c>
      <c r="AB358" s="25">
        <f t="shared" si="14"/>
        <v>202</v>
      </c>
      <c r="AC358" s="25">
        <f t="shared" si="15"/>
        <v>426</v>
      </c>
      <c r="AD358" s="31">
        <f t="shared" si="18"/>
        <v>0.25247524752475248</v>
      </c>
      <c r="AE358" s="32">
        <f t="shared" si="19"/>
        <v>0.11971830985915492</v>
      </c>
    </row>
    <row r="359" spans="1:31" x14ac:dyDescent="0.25">
      <c r="A359" s="2"/>
      <c r="B359" s="3"/>
      <c r="M359" s="23">
        <v>44884</v>
      </c>
      <c r="N359" s="12">
        <v>40</v>
      </c>
      <c r="X359" s="26">
        <f t="shared" si="16"/>
        <v>11</v>
      </c>
      <c r="Y359" s="25">
        <f t="shared" si="17"/>
        <v>46</v>
      </c>
      <c r="Z359" s="30">
        <v>44884</v>
      </c>
      <c r="AA359" s="25">
        <v>40</v>
      </c>
      <c r="AB359" s="25">
        <f t="shared" si="14"/>
        <v>202</v>
      </c>
      <c r="AC359" s="25">
        <f t="shared" si="15"/>
        <v>426</v>
      </c>
      <c r="AD359" s="31">
        <f t="shared" si="18"/>
        <v>0.19801980198019803</v>
      </c>
      <c r="AE359" s="32">
        <f t="shared" si="19"/>
        <v>9.3896713615023469E-2</v>
      </c>
    </row>
    <row r="360" spans="1:31" x14ac:dyDescent="0.25">
      <c r="A360" s="2"/>
      <c r="B360" s="3"/>
      <c r="M360" s="23">
        <v>44885</v>
      </c>
      <c r="N360" s="12">
        <v>50</v>
      </c>
      <c r="X360" s="26">
        <f t="shared" si="16"/>
        <v>11</v>
      </c>
      <c r="Y360" s="25">
        <f t="shared" si="17"/>
        <v>46</v>
      </c>
      <c r="Z360" s="30">
        <v>44885</v>
      </c>
      <c r="AA360" s="25">
        <v>50</v>
      </c>
      <c r="AB360" s="25">
        <f t="shared" si="14"/>
        <v>202</v>
      </c>
      <c r="AC360" s="25">
        <f t="shared" si="15"/>
        <v>426</v>
      </c>
      <c r="AD360" s="31">
        <f t="shared" si="18"/>
        <v>0.24752475247524752</v>
      </c>
      <c r="AE360" s="32">
        <f t="shared" si="19"/>
        <v>0.11737089201877934</v>
      </c>
    </row>
    <row r="361" spans="1:31" x14ac:dyDescent="0.25">
      <c r="A361" s="2"/>
      <c r="B361" s="3"/>
      <c r="M361" s="23">
        <v>44886</v>
      </c>
      <c r="N361" s="12">
        <v>34</v>
      </c>
      <c r="X361" s="26">
        <f t="shared" si="16"/>
        <v>11</v>
      </c>
      <c r="Y361" s="25">
        <f t="shared" si="17"/>
        <v>47</v>
      </c>
      <c r="Z361" s="30">
        <v>44886</v>
      </c>
      <c r="AA361" s="25">
        <v>34</v>
      </c>
      <c r="AB361" s="25">
        <f t="shared" si="14"/>
        <v>167</v>
      </c>
      <c r="AC361" s="25">
        <f t="shared" si="15"/>
        <v>426</v>
      </c>
      <c r="AD361" s="31">
        <f t="shared" si="18"/>
        <v>0.20359281437125748</v>
      </c>
      <c r="AE361" s="32">
        <f t="shared" si="19"/>
        <v>7.9812206572769953E-2</v>
      </c>
    </row>
    <row r="362" spans="1:31" x14ac:dyDescent="0.25">
      <c r="A362" s="2"/>
      <c r="B362" s="3"/>
      <c r="M362" s="23">
        <v>44887</v>
      </c>
      <c r="N362" s="12">
        <v>41</v>
      </c>
      <c r="X362" s="26">
        <f t="shared" si="16"/>
        <v>11</v>
      </c>
      <c r="Y362" s="25">
        <f t="shared" si="17"/>
        <v>47</v>
      </c>
      <c r="Z362" s="30">
        <v>44887</v>
      </c>
      <c r="AA362" s="25">
        <v>41</v>
      </c>
      <c r="AB362" s="25">
        <f t="shared" si="14"/>
        <v>167</v>
      </c>
      <c r="AC362" s="25">
        <f t="shared" si="15"/>
        <v>426</v>
      </c>
      <c r="AD362" s="31">
        <f t="shared" si="18"/>
        <v>0.24550898203592814</v>
      </c>
      <c r="AE362" s="32">
        <f t="shared" si="19"/>
        <v>9.6244131455399062E-2</v>
      </c>
    </row>
    <row r="363" spans="1:31" x14ac:dyDescent="0.25">
      <c r="A363" s="2"/>
      <c r="B363" s="3"/>
      <c r="M363" s="23">
        <v>44888</v>
      </c>
      <c r="N363" s="12">
        <v>39</v>
      </c>
      <c r="X363" s="26">
        <f t="shared" si="16"/>
        <v>11</v>
      </c>
      <c r="Y363" s="25">
        <f t="shared" si="17"/>
        <v>47</v>
      </c>
      <c r="Z363" s="30">
        <v>44888</v>
      </c>
      <c r="AA363" s="25">
        <v>39</v>
      </c>
      <c r="AB363" s="25">
        <f t="shared" si="14"/>
        <v>167</v>
      </c>
      <c r="AC363" s="25">
        <f t="shared" si="15"/>
        <v>426</v>
      </c>
      <c r="AD363" s="31">
        <f t="shared" si="18"/>
        <v>0.23353293413173654</v>
      </c>
      <c r="AE363" s="32">
        <f t="shared" si="19"/>
        <v>9.154929577464789E-2</v>
      </c>
    </row>
    <row r="364" spans="1:31" x14ac:dyDescent="0.25">
      <c r="A364" s="2"/>
      <c r="B364" s="3"/>
      <c r="M364" s="23">
        <v>44889</v>
      </c>
      <c r="N364" s="12">
        <v>32</v>
      </c>
      <c r="X364" s="26">
        <f t="shared" si="16"/>
        <v>11</v>
      </c>
      <c r="Y364" s="25">
        <f t="shared" si="17"/>
        <v>47</v>
      </c>
      <c r="Z364" s="30">
        <v>44889</v>
      </c>
      <c r="AA364" s="25">
        <v>32</v>
      </c>
      <c r="AB364" s="25">
        <f t="shared" si="14"/>
        <v>167</v>
      </c>
      <c r="AC364" s="25">
        <f t="shared" si="15"/>
        <v>426</v>
      </c>
      <c r="AD364" s="31">
        <f t="shared" si="18"/>
        <v>0.19161676646706588</v>
      </c>
      <c r="AE364" s="32">
        <f t="shared" si="19"/>
        <v>7.5117370892018781E-2</v>
      </c>
    </row>
    <row r="365" spans="1:31" x14ac:dyDescent="0.25">
      <c r="A365" s="2"/>
      <c r="B365" s="3"/>
      <c r="M365" s="23">
        <v>44890</v>
      </c>
      <c r="N365" s="12">
        <v>32</v>
      </c>
      <c r="X365" s="26">
        <f t="shared" si="16"/>
        <v>11</v>
      </c>
      <c r="Y365" s="25">
        <f t="shared" si="17"/>
        <v>47</v>
      </c>
      <c r="Z365" s="30">
        <v>44890</v>
      </c>
      <c r="AA365" s="25">
        <v>32</v>
      </c>
      <c r="AB365" s="25">
        <f t="shared" si="14"/>
        <v>167</v>
      </c>
      <c r="AC365" s="25">
        <f t="shared" si="15"/>
        <v>426</v>
      </c>
      <c r="AD365" s="31">
        <f t="shared" si="18"/>
        <v>0.19161676646706588</v>
      </c>
      <c r="AE365" s="32">
        <f t="shared" si="19"/>
        <v>7.5117370892018781E-2</v>
      </c>
    </row>
    <row r="366" spans="1:31" x14ac:dyDescent="0.25">
      <c r="A366" s="2"/>
      <c r="B366" s="3"/>
      <c r="M366" s="23">
        <v>44891</v>
      </c>
      <c r="N366" s="12">
        <v>31</v>
      </c>
      <c r="X366" s="26">
        <f t="shared" si="16"/>
        <v>11</v>
      </c>
      <c r="Y366" s="25">
        <f t="shared" si="17"/>
        <v>47</v>
      </c>
      <c r="Z366" s="30">
        <v>44891</v>
      </c>
      <c r="AA366" s="25">
        <v>31</v>
      </c>
      <c r="AB366" s="25">
        <f t="shared" si="14"/>
        <v>167</v>
      </c>
      <c r="AC366" s="25">
        <f t="shared" si="15"/>
        <v>426</v>
      </c>
      <c r="AD366" s="31">
        <f t="shared" si="18"/>
        <v>0.18562874251497005</v>
      </c>
      <c r="AE366" s="32">
        <f t="shared" si="19"/>
        <v>7.2769953051643188E-2</v>
      </c>
    </row>
    <row r="367" spans="1:31" x14ac:dyDescent="0.25">
      <c r="A367" s="2"/>
      <c r="B367" s="3"/>
      <c r="M367" s="23">
        <v>44892</v>
      </c>
      <c r="N367" s="12">
        <v>35</v>
      </c>
      <c r="X367" s="26">
        <f t="shared" si="16"/>
        <v>11</v>
      </c>
      <c r="Y367" s="25">
        <f t="shared" si="17"/>
        <v>47</v>
      </c>
      <c r="Z367" s="30">
        <v>44892</v>
      </c>
      <c r="AA367" s="25">
        <v>35</v>
      </c>
      <c r="AB367" s="25">
        <f t="shared" si="14"/>
        <v>167</v>
      </c>
      <c r="AC367" s="25">
        <f t="shared" si="15"/>
        <v>426</v>
      </c>
      <c r="AD367" s="31">
        <f t="shared" si="18"/>
        <v>0.20958083832335328</v>
      </c>
      <c r="AE367" s="32">
        <f t="shared" si="19"/>
        <v>8.2159624413145546E-2</v>
      </c>
    </row>
    <row r="368" spans="1:31" x14ac:dyDescent="0.25">
      <c r="A368" s="2"/>
      <c r="B368" s="3"/>
      <c r="M368" s="23">
        <v>44893</v>
      </c>
      <c r="N368" s="12">
        <v>32</v>
      </c>
      <c r="X368" s="26">
        <f t="shared" si="16"/>
        <v>11</v>
      </c>
      <c r="Y368" s="25">
        <f t="shared" si="17"/>
        <v>48</v>
      </c>
      <c r="Z368" s="30">
        <v>44893</v>
      </c>
      <c r="AA368" s="25">
        <v>32</v>
      </c>
      <c r="AB368" s="25">
        <f t="shared" si="14"/>
        <v>157</v>
      </c>
      <c r="AC368" s="25">
        <f t="shared" si="15"/>
        <v>426</v>
      </c>
      <c r="AD368" s="31">
        <f t="shared" si="18"/>
        <v>0.20382165605095542</v>
      </c>
      <c r="AE368" s="32">
        <f t="shared" si="19"/>
        <v>7.5117370892018781E-2</v>
      </c>
    </row>
    <row r="369" spans="1:31" x14ac:dyDescent="0.25">
      <c r="A369" s="2"/>
      <c r="B369" s="3"/>
      <c r="M369" s="23">
        <v>44894</v>
      </c>
      <c r="N369" s="12">
        <v>23</v>
      </c>
      <c r="X369" s="26">
        <f t="shared" si="16"/>
        <v>11</v>
      </c>
      <c r="Y369" s="25">
        <f t="shared" si="17"/>
        <v>48</v>
      </c>
      <c r="Z369" s="30">
        <v>44894</v>
      </c>
      <c r="AA369" s="25">
        <v>23</v>
      </c>
      <c r="AB369" s="25">
        <f t="shared" si="14"/>
        <v>157</v>
      </c>
      <c r="AC369" s="25">
        <f t="shared" si="15"/>
        <v>426</v>
      </c>
      <c r="AD369" s="31">
        <f t="shared" si="18"/>
        <v>0.1464968152866242</v>
      </c>
      <c r="AE369" s="32">
        <f t="shared" si="19"/>
        <v>5.39906103286385E-2</v>
      </c>
    </row>
    <row r="370" spans="1:31" x14ac:dyDescent="0.25">
      <c r="A370" s="2"/>
      <c r="B370" s="3"/>
      <c r="M370" s="23">
        <v>44895</v>
      </c>
      <c r="N370" s="12">
        <v>35</v>
      </c>
      <c r="X370" s="26">
        <f t="shared" si="16"/>
        <v>11</v>
      </c>
      <c r="Y370" s="25">
        <f t="shared" si="17"/>
        <v>48</v>
      </c>
      <c r="Z370" s="30">
        <v>44895</v>
      </c>
      <c r="AA370" s="25">
        <v>35</v>
      </c>
      <c r="AB370" s="25">
        <f t="shared" si="14"/>
        <v>157</v>
      </c>
      <c r="AC370" s="25">
        <f t="shared" si="15"/>
        <v>426</v>
      </c>
      <c r="AD370" s="31">
        <f t="shared" si="18"/>
        <v>0.22292993630573249</v>
      </c>
      <c r="AE370" s="32">
        <f t="shared" si="19"/>
        <v>8.2159624413145546E-2</v>
      </c>
    </row>
    <row r="371" spans="1:31" x14ac:dyDescent="0.25">
      <c r="A371" s="2"/>
      <c r="B371" s="3"/>
      <c r="M371" s="23">
        <v>44896</v>
      </c>
      <c r="N371" s="12">
        <v>32</v>
      </c>
      <c r="X371" s="26">
        <f t="shared" si="16"/>
        <v>12</v>
      </c>
      <c r="Y371" s="25">
        <f t="shared" si="17"/>
        <v>48</v>
      </c>
      <c r="Z371" s="30">
        <v>44896</v>
      </c>
      <c r="AA371" s="25">
        <v>32</v>
      </c>
      <c r="AB371" s="25">
        <f t="shared" si="14"/>
        <v>157</v>
      </c>
      <c r="AC371" s="25">
        <f t="shared" si="15"/>
        <v>390</v>
      </c>
      <c r="AD371" s="31">
        <f t="shared" si="18"/>
        <v>0.20382165605095542</v>
      </c>
      <c r="AE371" s="32">
        <f t="shared" si="19"/>
        <v>8.2051282051282051E-2</v>
      </c>
    </row>
    <row r="372" spans="1:31" x14ac:dyDescent="0.25">
      <c r="A372" s="2"/>
      <c r="B372" s="3"/>
      <c r="M372" s="23">
        <v>44897</v>
      </c>
      <c r="N372" s="12">
        <v>25</v>
      </c>
      <c r="X372" s="26">
        <f t="shared" si="16"/>
        <v>12</v>
      </c>
      <c r="Y372" s="25">
        <f t="shared" si="17"/>
        <v>48</v>
      </c>
      <c r="Z372" s="30">
        <v>44897</v>
      </c>
      <c r="AA372" s="25">
        <v>25</v>
      </c>
      <c r="AB372" s="25">
        <f t="shared" si="14"/>
        <v>157</v>
      </c>
      <c r="AC372" s="25">
        <f t="shared" si="15"/>
        <v>390</v>
      </c>
      <c r="AD372" s="31">
        <f t="shared" si="18"/>
        <v>0.15923566878980891</v>
      </c>
      <c r="AE372" s="32">
        <f t="shared" si="19"/>
        <v>6.4102564102564097E-2</v>
      </c>
    </row>
    <row r="373" spans="1:31" x14ac:dyDescent="0.25">
      <c r="A373" s="2"/>
      <c r="B373" s="3"/>
      <c r="M373" s="23">
        <v>44898</v>
      </c>
      <c r="N373" s="12">
        <v>19</v>
      </c>
      <c r="X373" s="26">
        <f t="shared" si="16"/>
        <v>12</v>
      </c>
      <c r="Y373" s="25">
        <f t="shared" si="17"/>
        <v>48</v>
      </c>
      <c r="Z373" s="30">
        <v>44898</v>
      </c>
      <c r="AA373" s="25">
        <v>19</v>
      </c>
      <c r="AB373" s="25">
        <f t="shared" si="14"/>
        <v>157</v>
      </c>
      <c r="AC373" s="25">
        <f t="shared" si="15"/>
        <v>390</v>
      </c>
      <c r="AD373" s="31">
        <f t="shared" si="18"/>
        <v>0.12101910828025478</v>
      </c>
      <c r="AE373" s="32">
        <f t="shared" si="19"/>
        <v>4.8717948717948718E-2</v>
      </c>
    </row>
    <row r="374" spans="1:31" x14ac:dyDescent="0.25">
      <c r="A374" s="2"/>
      <c r="B374" s="3"/>
      <c r="M374" s="23">
        <v>44899</v>
      </c>
      <c r="N374" s="12">
        <v>30</v>
      </c>
      <c r="X374" s="26">
        <f t="shared" si="16"/>
        <v>12</v>
      </c>
      <c r="Y374" s="25">
        <f t="shared" si="17"/>
        <v>48</v>
      </c>
      <c r="Z374" s="30">
        <v>44899</v>
      </c>
      <c r="AA374" s="25">
        <v>30</v>
      </c>
      <c r="AB374" s="25">
        <f t="shared" si="14"/>
        <v>157</v>
      </c>
      <c r="AC374" s="25">
        <f t="shared" si="15"/>
        <v>390</v>
      </c>
      <c r="AD374" s="31">
        <f t="shared" si="18"/>
        <v>0.19108280254777071</v>
      </c>
      <c r="AE374" s="32">
        <f t="shared" si="19"/>
        <v>7.6923076923076927E-2</v>
      </c>
    </row>
    <row r="375" spans="1:31" x14ac:dyDescent="0.25">
      <c r="M375" s="23">
        <v>44900</v>
      </c>
      <c r="N375" s="12">
        <v>23</v>
      </c>
      <c r="X375" s="26">
        <f t="shared" si="16"/>
        <v>12</v>
      </c>
      <c r="Y375" s="25">
        <f t="shared" si="17"/>
        <v>49</v>
      </c>
      <c r="Z375" s="30">
        <v>44900</v>
      </c>
      <c r="AA375" s="25">
        <v>23</v>
      </c>
      <c r="AB375" s="25">
        <f t="shared" si="14"/>
        <v>156</v>
      </c>
      <c r="AC375" s="25">
        <f t="shared" si="15"/>
        <v>390</v>
      </c>
      <c r="AD375" s="31">
        <f t="shared" si="18"/>
        <v>0.14743589743589744</v>
      </c>
      <c r="AE375" s="32">
        <f t="shared" si="19"/>
        <v>5.8974358974358973E-2</v>
      </c>
    </row>
    <row r="376" spans="1:31" x14ac:dyDescent="0.25">
      <c r="M376" s="23">
        <v>44901</v>
      </c>
      <c r="N376" s="12">
        <v>32</v>
      </c>
      <c r="X376" s="26">
        <f t="shared" si="16"/>
        <v>12</v>
      </c>
      <c r="Y376" s="25">
        <f t="shared" si="17"/>
        <v>49</v>
      </c>
      <c r="Z376" s="30">
        <v>44901</v>
      </c>
      <c r="AA376" s="25">
        <v>32</v>
      </c>
      <c r="AB376" s="25">
        <f t="shared" si="14"/>
        <v>156</v>
      </c>
      <c r="AC376" s="25">
        <f t="shared" si="15"/>
        <v>390</v>
      </c>
      <c r="AD376" s="31">
        <f t="shared" si="18"/>
        <v>0.20512820512820512</v>
      </c>
      <c r="AE376" s="32">
        <f t="shared" si="19"/>
        <v>8.2051282051282051E-2</v>
      </c>
    </row>
    <row r="377" spans="1:31" x14ac:dyDescent="0.25">
      <c r="M377" s="23">
        <v>44902</v>
      </c>
      <c r="N377" s="12">
        <v>35</v>
      </c>
      <c r="X377" s="26">
        <f t="shared" si="16"/>
        <v>12</v>
      </c>
      <c r="Y377" s="25">
        <f t="shared" si="17"/>
        <v>49</v>
      </c>
      <c r="Z377" s="30">
        <v>44902</v>
      </c>
      <c r="AA377" s="25">
        <v>35</v>
      </c>
      <c r="AB377" s="25">
        <f t="shared" si="14"/>
        <v>156</v>
      </c>
      <c r="AC377" s="25">
        <f t="shared" si="15"/>
        <v>390</v>
      </c>
      <c r="AD377" s="31">
        <f t="shared" si="18"/>
        <v>0.22435897435897437</v>
      </c>
      <c r="AE377" s="32">
        <f t="shared" si="19"/>
        <v>8.9743589743589744E-2</v>
      </c>
    </row>
    <row r="378" spans="1:31" x14ac:dyDescent="0.25">
      <c r="M378" s="23">
        <v>44903</v>
      </c>
      <c r="N378" s="12">
        <v>29</v>
      </c>
      <c r="X378" s="26">
        <f t="shared" si="16"/>
        <v>12</v>
      </c>
      <c r="Y378" s="25">
        <f t="shared" si="17"/>
        <v>49</v>
      </c>
      <c r="Z378" s="30">
        <v>44903</v>
      </c>
      <c r="AA378" s="25">
        <v>29</v>
      </c>
      <c r="AB378" s="25">
        <f t="shared" si="14"/>
        <v>156</v>
      </c>
      <c r="AC378" s="25">
        <f t="shared" si="15"/>
        <v>390</v>
      </c>
      <c r="AD378" s="31">
        <f t="shared" si="18"/>
        <v>0.1858974358974359</v>
      </c>
      <c r="AE378" s="32">
        <f t="shared" si="19"/>
        <v>7.4358974358974358E-2</v>
      </c>
    </row>
    <row r="379" spans="1:31" x14ac:dyDescent="0.25">
      <c r="M379" s="23">
        <v>44904</v>
      </c>
      <c r="N379" s="12">
        <v>36</v>
      </c>
      <c r="X379" s="26">
        <f t="shared" si="16"/>
        <v>12</v>
      </c>
      <c r="Y379" s="25">
        <f t="shared" si="17"/>
        <v>49</v>
      </c>
      <c r="Z379" s="30">
        <v>44904</v>
      </c>
      <c r="AA379" s="25">
        <v>36</v>
      </c>
      <c r="AB379" s="25">
        <f t="shared" si="14"/>
        <v>156</v>
      </c>
      <c r="AC379" s="25">
        <f t="shared" si="15"/>
        <v>390</v>
      </c>
      <c r="AD379" s="31">
        <f t="shared" si="18"/>
        <v>0.23076923076923078</v>
      </c>
      <c r="AE379" s="32">
        <f t="shared" si="19"/>
        <v>9.2307692307692313E-2</v>
      </c>
    </row>
    <row r="380" spans="1:31" x14ac:dyDescent="0.25">
      <c r="M380" s="23">
        <v>44905</v>
      </c>
      <c r="N380" s="12">
        <v>30</v>
      </c>
      <c r="X380" s="26">
        <f t="shared" si="16"/>
        <v>12</v>
      </c>
      <c r="Y380" s="25">
        <f t="shared" si="17"/>
        <v>49</v>
      </c>
      <c r="Z380" s="30">
        <v>44905</v>
      </c>
      <c r="AA380" s="25">
        <v>30</v>
      </c>
      <c r="AB380" s="25">
        <f t="shared" si="14"/>
        <v>156</v>
      </c>
      <c r="AC380" s="25">
        <f t="shared" si="15"/>
        <v>390</v>
      </c>
      <c r="AD380" s="31">
        <f t="shared" si="18"/>
        <v>0.19230769230769232</v>
      </c>
      <c r="AE380" s="32">
        <f t="shared" si="19"/>
        <v>7.6923076923076927E-2</v>
      </c>
    </row>
    <row r="381" spans="1:31" x14ac:dyDescent="0.25">
      <c r="M381" s="23">
        <v>44906</v>
      </c>
      <c r="N381" s="12">
        <v>25</v>
      </c>
      <c r="X381" s="26">
        <f t="shared" si="16"/>
        <v>12</v>
      </c>
      <c r="Y381" s="25">
        <f t="shared" si="17"/>
        <v>49</v>
      </c>
      <c r="Z381" s="30">
        <v>44906</v>
      </c>
      <c r="AA381" s="25">
        <v>25</v>
      </c>
      <c r="AB381" s="25">
        <f t="shared" si="14"/>
        <v>156</v>
      </c>
      <c r="AC381" s="25">
        <f t="shared" si="15"/>
        <v>390</v>
      </c>
      <c r="AD381" s="31">
        <f t="shared" si="18"/>
        <v>0.16025641025641027</v>
      </c>
      <c r="AE381" s="32">
        <f t="shared" si="19"/>
        <v>6.4102564102564097E-2</v>
      </c>
    </row>
    <row r="382" spans="1:31" x14ac:dyDescent="0.25">
      <c r="M382" s="23">
        <v>44907</v>
      </c>
      <c r="N382" s="12">
        <v>31</v>
      </c>
      <c r="X382" s="26">
        <f t="shared" si="16"/>
        <v>12</v>
      </c>
      <c r="Y382" s="25">
        <f t="shared" si="17"/>
        <v>50</v>
      </c>
      <c r="Z382" s="30">
        <v>44907</v>
      </c>
      <c r="AA382" s="25">
        <v>31</v>
      </c>
      <c r="AB382" s="25">
        <f t="shared" si="14"/>
        <v>153</v>
      </c>
      <c r="AC382" s="25">
        <f t="shared" si="15"/>
        <v>390</v>
      </c>
      <c r="AD382" s="31">
        <f t="shared" si="18"/>
        <v>0.20261437908496732</v>
      </c>
      <c r="AE382" s="32">
        <f t="shared" si="19"/>
        <v>7.9487179487179482E-2</v>
      </c>
    </row>
    <row r="383" spans="1:31" x14ac:dyDescent="0.25">
      <c r="M383" s="23">
        <v>44908</v>
      </c>
      <c r="N383" s="12">
        <v>34</v>
      </c>
      <c r="X383" s="26">
        <f t="shared" si="16"/>
        <v>12</v>
      </c>
      <c r="Y383" s="25">
        <f t="shared" si="17"/>
        <v>50</v>
      </c>
      <c r="Z383" s="30">
        <v>44908</v>
      </c>
      <c r="AA383" s="25">
        <v>34</v>
      </c>
      <c r="AB383" s="25">
        <f t="shared" si="14"/>
        <v>153</v>
      </c>
      <c r="AC383" s="25">
        <f t="shared" si="15"/>
        <v>390</v>
      </c>
      <c r="AD383" s="31">
        <f t="shared" si="18"/>
        <v>0.22222222222222221</v>
      </c>
      <c r="AE383" s="32">
        <f t="shared" si="19"/>
        <v>8.7179487179487175E-2</v>
      </c>
    </row>
    <row r="384" spans="1:31" x14ac:dyDescent="0.25">
      <c r="M384" s="23">
        <v>44909</v>
      </c>
      <c r="N384" s="12">
        <v>22</v>
      </c>
      <c r="X384" s="26">
        <f t="shared" si="16"/>
        <v>12</v>
      </c>
      <c r="Y384" s="25">
        <f t="shared" si="17"/>
        <v>50</v>
      </c>
      <c r="Z384" s="30">
        <v>44909</v>
      </c>
      <c r="AA384" s="25">
        <v>22</v>
      </c>
      <c r="AB384" s="25">
        <f t="shared" si="14"/>
        <v>153</v>
      </c>
      <c r="AC384" s="25">
        <f t="shared" si="15"/>
        <v>390</v>
      </c>
      <c r="AD384" s="31">
        <f t="shared" si="18"/>
        <v>0.1437908496732026</v>
      </c>
      <c r="AE384" s="32">
        <f t="shared" si="19"/>
        <v>5.6410256410256411E-2</v>
      </c>
    </row>
    <row r="385" spans="13:31" x14ac:dyDescent="0.25">
      <c r="M385" s="23">
        <v>44910</v>
      </c>
      <c r="N385" s="12">
        <v>26</v>
      </c>
      <c r="X385" s="26">
        <f t="shared" si="16"/>
        <v>12</v>
      </c>
      <c r="Y385" s="25">
        <f t="shared" si="17"/>
        <v>50</v>
      </c>
      <c r="Z385" s="30">
        <v>44910</v>
      </c>
      <c r="AA385" s="25">
        <v>26</v>
      </c>
      <c r="AB385" s="25">
        <f t="shared" si="14"/>
        <v>153</v>
      </c>
      <c r="AC385" s="25">
        <f t="shared" si="15"/>
        <v>390</v>
      </c>
      <c r="AD385" s="31">
        <f t="shared" si="18"/>
        <v>0.16993464052287582</v>
      </c>
      <c r="AE385" s="32">
        <f t="shared" si="19"/>
        <v>6.6666666666666666E-2</v>
      </c>
    </row>
    <row r="386" spans="13:31" x14ac:dyDescent="0.25">
      <c r="M386" s="23">
        <v>44911</v>
      </c>
      <c r="N386" s="12">
        <v>27</v>
      </c>
      <c r="X386" s="26">
        <f t="shared" si="16"/>
        <v>12</v>
      </c>
      <c r="Y386" s="25">
        <f t="shared" si="17"/>
        <v>50</v>
      </c>
      <c r="Z386" s="30">
        <v>44911</v>
      </c>
      <c r="AA386" s="25">
        <v>27</v>
      </c>
      <c r="AB386" s="25">
        <f t="shared" si="14"/>
        <v>153</v>
      </c>
      <c r="AC386" s="25">
        <f t="shared" si="15"/>
        <v>390</v>
      </c>
      <c r="AD386" s="31">
        <f t="shared" si="18"/>
        <v>0.17647058823529413</v>
      </c>
      <c r="AE386" s="32">
        <f t="shared" si="19"/>
        <v>6.9230769230769235E-2</v>
      </c>
    </row>
    <row r="387" spans="13:31" x14ac:dyDescent="0.25">
      <c r="M387" s="23">
        <v>44912</v>
      </c>
      <c r="N387" s="12">
        <v>28</v>
      </c>
      <c r="X387" s="26">
        <f t="shared" si="16"/>
        <v>12</v>
      </c>
      <c r="Y387" s="25">
        <f t="shared" si="17"/>
        <v>50</v>
      </c>
      <c r="Z387" s="30">
        <v>44912</v>
      </c>
      <c r="AA387" s="25">
        <v>28</v>
      </c>
      <c r="AB387" s="25">
        <f t="shared" si="14"/>
        <v>153</v>
      </c>
      <c r="AC387" s="25">
        <f t="shared" si="15"/>
        <v>390</v>
      </c>
      <c r="AD387" s="31">
        <f t="shared" si="18"/>
        <v>0.18300653594771241</v>
      </c>
      <c r="AE387" s="32">
        <f t="shared" si="19"/>
        <v>7.179487179487179E-2</v>
      </c>
    </row>
    <row r="388" spans="13:31" x14ac:dyDescent="0.25">
      <c r="M388" s="23">
        <v>44913</v>
      </c>
      <c r="N388" s="12">
        <v>20</v>
      </c>
      <c r="X388" s="26">
        <f t="shared" si="16"/>
        <v>12</v>
      </c>
      <c r="Y388" s="25">
        <f t="shared" si="17"/>
        <v>50</v>
      </c>
      <c r="Z388" s="30">
        <v>44913</v>
      </c>
      <c r="AA388" s="25">
        <v>20</v>
      </c>
      <c r="AB388" s="25">
        <f t="shared" si="14"/>
        <v>153</v>
      </c>
      <c r="AC388" s="25">
        <f t="shared" si="15"/>
        <v>390</v>
      </c>
      <c r="AD388" s="31">
        <f t="shared" si="18"/>
        <v>0.13071895424836602</v>
      </c>
      <c r="AE388" s="32">
        <f t="shared" si="19"/>
        <v>5.128205128205128E-2</v>
      </c>
    </row>
    <row r="389" spans="13:31" x14ac:dyDescent="0.25">
      <c r="M389" s="23">
        <v>44914</v>
      </c>
      <c r="N389" s="12">
        <v>32</v>
      </c>
      <c r="X389" s="26">
        <f t="shared" si="16"/>
        <v>12</v>
      </c>
      <c r="Y389" s="25">
        <f t="shared" si="17"/>
        <v>51</v>
      </c>
      <c r="Z389" s="30">
        <v>44914</v>
      </c>
      <c r="AA389" s="25">
        <v>32</v>
      </c>
      <c r="AB389" s="25">
        <f t="shared" si="14"/>
        <v>145</v>
      </c>
      <c r="AC389" s="25">
        <f t="shared" si="15"/>
        <v>390</v>
      </c>
      <c r="AD389" s="31">
        <f t="shared" si="18"/>
        <v>0.22068965517241379</v>
      </c>
      <c r="AE389" s="32">
        <f t="shared" si="19"/>
        <v>8.2051282051282051E-2</v>
      </c>
    </row>
    <row r="390" spans="13:31" x14ac:dyDescent="0.25">
      <c r="M390" s="23">
        <v>44915</v>
      </c>
      <c r="N390" s="12">
        <v>28</v>
      </c>
      <c r="X390" s="26">
        <f t="shared" si="16"/>
        <v>12</v>
      </c>
      <c r="Y390" s="25">
        <f t="shared" si="17"/>
        <v>51</v>
      </c>
      <c r="Z390" s="30">
        <v>44915</v>
      </c>
      <c r="AA390" s="25">
        <v>28</v>
      </c>
      <c r="AB390" s="25">
        <f t="shared" si="14"/>
        <v>145</v>
      </c>
      <c r="AC390" s="25">
        <f t="shared" si="15"/>
        <v>390</v>
      </c>
      <c r="AD390" s="31">
        <f t="shared" si="18"/>
        <v>0.19310344827586207</v>
      </c>
      <c r="AE390" s="32">
        <f t="shared" si="19"/>
        <v>7.179487179487179E-2</v>
      </c>
    </row>
    <row r="391" spans="13:31" x14ac:dyDescent="0.25">
      <c r="M391" s="23">
        <v>44916</v>
      </c>
      <c r="N391" s="12">
        <v>28</v>
      </c>
      <c r="X391" s="26">
        <f t="shared" si="16"/>
        <v>12</v>
      </c>
      <c r="Y391" s="25">
        <f t="shared" si="17"/>
        <v>51</v>
      </c>
      <c r="Z391" s="30">
        <v>44916</v>
      </c>
      <c r="AA391" s="25">
        <v>28</v>
      </c>
      <c r="AB391" s="25">
        <f t="shared" si="14"/>
        <v>145</v>
      </c>
      <c r="AC391" s="25">
        <f t="shared" si="15"/>
        <v>390</v>
      </c>
      <c r="AD391" s="31">
        <f t="shared" si="18"/>
        <v>0.19310344827586207</v>
      </c>
      <c r="AE391" s="32">
        <f t="shared" si="19"/>
        <v>7.179487179487179E-2</v>
      </c>
    </row>
    <row r="392" spans="13:31" x14ac:dyDescent="0.25">
      <c r="M392" s="23">
        <v>44917</v>
      </c>
      <c r="N392" s="12">
        <v>29</v>
      </c>
      <c r="X392" s="26">
        <f t="shared" si="16"/>
        <v>12</v>
      </c>
      <c r="Y392" s="25">
        <f t="shared" si="17"/>
        <v>51</v>
      </c>
      <c r="Z392" s="30">
        <v>44917</v>
      </c>
      <c r="AA392" s="25">
        <v>29</v>
      </c>
      <c r="AB392" s="25">
        <f t="shared" si="14"/>
        <v>145</v>
      </c>
      <c r="AC392" s="25">
        <f t="shared" si="15"/>
        <v>390</v>
      </c>
      <c r="AD392" s="31">
        <f t="shared" si="18"/>
        <v>0.2</v>
      </c>
      <c r="AE392" s="32">
        <f t="shared" si="19"/>
        <v>7.4358974358974358E-2</v>
      </c>
    </row>
    <row r="393" spans="13:31" x14ac:dyDescent="0.25">
      <c r="M393" s="23">
        <v>44918</v>
      </c>
      <c r="N393" s="12">
        <v>36</v>
      </c>
      <c r="X393" s="26">
        <f t="shared" si="16"/>
        <v>12</v>
      </c>
      <c r="Y393" s="25">
        <f t="shared" si="17"/>
        <v>51</v>
      </c>
      <c r="Z393" s="30">
        <v>44918</v>
      </c>
      <c r="AA393" s="25">
        <v>36</v>
      </c>
      <c r="AB393" s="25">
        <f t="shared" si="14"/>
        <v>145</v>
      </c>
      <c r="AC393" s="25">
        <f t="shared" si="15"/>
        <v>390</v>
      </c>
      <c r="AD393" s="31">
        <f t="shared" si="18"/>
        <v>0.24827586206896551</v>
      </c>
      <c r="AE393" s="32">
        <f t="shared" si="19"/>
        <v>9.2307692307692313E-2</v>
      </c>
    </row>
    <row r="394" spans="13:31" x14ac:dyDescent="0.25">
      <c r="M394" s="23">
        <v>44919</v>
      </c>
      <c r="N394" s="12">
        <v>24</v>
      </c>
      <c r="X394" s="26">
        <f t="shared" si="16"/>
        <v>12</v>
      </c>
      <c r="Y394" s="25">
        <f t="shared" si="17"/>
        <v>51</v>
      </c>
      <c r="Z394" s="30">
        <v>44919</v>
      </c>
      <c r="AA394" s="25">
        <v>24</v>
      </c>
      <c r="AB394" s="25">
        <f t="shared" si="14"/>
        <v>145</v>
      </c>
      <c r="AC394" s="25">
        <f t="shared" si="15"/>
        <v>390</v>
      </c>
      <c r="AD394" s="31">
        <f t="shared" si="18"/>
        <v>0.16551724137931034</v>
      </c>
      <c r="AE394" s="32">
        <f t="shared" si="19"/>
        <v>6.1538461538461542E-2</v>
      </c>
    </row>
    <row r="395" spans="13:31" x14ac:dyDescent="0.25">
      <c r="M395" s="23">
        <v>44920</v>
      </c>
      <c r="N395" s="12">
        <v>33</v>
      </c>
      <c r="X395" s="26">
        <f t="shared" si="16"/>
        <v>12</v>
      </c>
      <c r="Y395" s="25">
        <f t="shared" si="17"/>
        <v>51</v>
      </c>
      <c r="Z395" s="30">
        <v>44920</v>
      </c>
      <c r="AA395" s="25">
        <v>33</v>
      </c>
      <c r="AB395" s="25">
        <f t="shared" si="14"/>
        <v>145</v>
      </c>
      <c r="AC395" s="25">
        <f t="shared" si="15"/>
        <v>390</v>
      </c>
      <c r="AD395" s="31">
        <f t="shared" si="18"/>
        <v>0.22758620689655173</v>
      </c>
      <c r="AE395" s="32">
        <f t="shared" si="19"/>
        <v>8.461538461538462E-2</v>
      </c>
    </row>
    <row r="396" spans="13:31" x14ac:dyDescent="0.25">
      <c r="M396" s="23">
        <v>44921</v>
      </c>
      <c r="N396" s="12">
        <v>26</v>
      </c>
      <c r="X396" s="26">
        <f t="shared" si="16"/>
        <v>12</v>
      </c>
      <c r="Y396" s="25">
        <f t="shared" si="17"/>
        <v>52</v>
      </c>
      <c r="Z396" s="30">
        <v>44921</v>
      </c>
      <c r="AA396" s="25">
        <v>26</v>
      </c>
      <c r="AB396" s="25">
        <f t="shared" si="14"/>
        <v>141</v>
      </c>
      <c r="AC396" s="25">
        <f t="shared" si="15"/>
        <v>390</v>
      </c>
      <c r="AD396" s="31">
        <f t="shared" si="18"/>
        <v>0.18439716312056736</v>
      </c>
      <c r="AE396" s="32">
        <f t="shared" si="19"/>
        <v>6.6666666666666666E-2</v>
      </c>
    </row>
    <row r="397" spans="13:31" x14ac:dyDescent="0.25">
      <c r="M397" s="23">
        <v>44922</v>
      </c>
      <c r="N397" s="12">
        <v>24</v>
      </c>
      <c r="X397" s="26">
        <f t="shared" si="16"/>
        <v>12</v>
      </c>
      <c r="Y397" s="25">
        <f t="shared" si="17"/>
        <v>52</v>
      </c>
      <c r="Z397" s="30">
        <v>44922</v>
      </c>
      <c r="AA397" s="25">
        <v>24</v>
      </c>
      <c r="AB397" s="25">
        <f t="shared" si="14"/>
        <v>141</v>
      </c>
      <c r="AC397" s="25">
        <f t="shared" si="15"/>
        <v>390</v>
      </c>
      <c r="AD397" s="31">
        <f t="shared" si="18"/>
        <v>0.1702127659574468</v>
      </c>
      <c r="AE397" s="32">
        <f t="shared" si="19"/>
        <v>6.1538461538461542E-2</v>
      </c>
    </row>
    <row r="398" spans="13:31" x14ac:dyDescent="0.25">
      <c r="M398" s="23">
        <v>44923</v>
      </c>
      <c r="N398" s="12">
        <v>32</v>
      </c>
      <c r="X398" s="26">
        <f t="shared" si="16"/>
        <v>12</v>
      </c>
      <c r="Y398" s="25">
        <f t="shared" si="17"/>
        <v>52</v>
      </c>
      <c r="Z398" s="30">
        <v>44923</v>
      </c>
      <c r="AA398" s="25">
        <v>32</v>
      </c>
      <c r="AB398" s="25">
        <f t="shared" si="14"/>
        <v>141</v>
      </c>
      <c r="AC398" s="25">
        <f t="shared" si="15"/>
        <v>390</v>
      </c>
      <c r="AD398" s="31">
        <f t="shared" si="18"/>
        <v>0.22695035460992907</v>
      </c>
      <c r="AE398" s="32">
        <f t="shared" si="19"/>
        <v>8.2051282051282051E-2</v>
      </c>
    </row>
    <row r="399" spans="13:31" x14ac:dyDescent="0.25">
      <c r="M399" s="23">
        <v>44924</v>
      </c>
      <c r="N399" s="12">
        <v>29</v>
      </c>
      <c r="X399" s="26">
        <f t="shared" si="16"/>
        <v>12</v>
      </c>
      <c r="Y399" s="25">
        <f t="shared" si="17"/>
        <v>52</v>
      </c>
      <c r="Z399" s="30">
        <v>44924</v>
      </c>
      <c r="AA399" s="25">
        <v>29</v>
      </c>
      <c r="AB399" s="25">
        <f t="shared" si="14"/>
        <v>141</v>
      </c>
      <c r="AC399" s="25">
        <f t="shared" si="15"/>
        <v>390</v>
      </c>
      <c r="AD399" s="31">
        <f t="shared" si="18"/>
        <v>0.20567375886524822</v>
      </c>
      <c r="AE399" s="32">
        <f t="shared" si="19"/>
        <v>7.4358974358974358E-2</v>
      </c>
    </row>
    <row r="400" spans="13:31" x14ac:dyDescent="0.25">
      <c r="M400" s="23">
        <v>44925</v>
      </c>
      <c r="N400" s="12">
        <v>22</v>
      </c>
      <c r="X400" s="26">
        <f t="shared" si="16"/>
        <v>12</v>
      </c>
      <c r="Y400" s="25">
        <f t="shared" si="17"/>
        <v>52</v>
      </c>
      <c r="Z400" s="30">
        <v>44925</v>
      </c>
      <c r="AA400" s="25">
        <v>22</v>
      </c>
      <c r="AB400" s="25">
        <f t="shared" si="14"/>
        <v>141</v>
      </c>
      <c r="AC400" s="25">
        <f t="shared" si="15"/>
        <v>390</v>
      </c>
      <c r="AD400" s="31">
        <f t="shared" si="18"/>
        <v>0.15602836879432624</v>
      </c>
      <c r="AE400" s="32">
        <f t="shared" si="19"/>
        <v>5.6410256410256411E-2</v>
      </c>
    </row>
    <row r="401" spans="13:31" x14ac:dyDescent="0.25">
      <c r="M401" s="23">
        <v>44926</v>
      </c>
      <c r="N401" s="12">
        <v>37</v>
      </c>
      <c r="X401" s="26">
        <f t="shared" si="16"/>
        <v>12</v>
      </c>
      <c r="Y401" s="25">
        <f t="shared" si="17"/>
        <v>52</v>
      </c>
      <c r="Z401" s="30">
        <v>44926</v>
      </c>
      <c r="AA401" s="25">
        <v>37</v>
      </c>
      <c r="AB401" s="25">
        <f t="shared" si="14"/>
        <v>141</v>
      </c>
      <c r="AC401" s="25">
        <f t="shared" si="15"/>
        <v>390</v>
      </c>
      <c r="AD401" s="31">
        <f t="shared" si="18"/>
        <v>0.26241134751773049</v>
      </c>
      <c r="AE401" s="32">
        <f t="shared" si="19"/>
        <v>9.4871794871794868E-2</v>
      </c>
    </row>
    <row r="402" spans="13:31" x14ac:dyDescent="0.25">
      <c r="M402" s="23">
        <v>44927</v>
      </c>
      <c r="N402" s="12">
        <v>24</v>
      </c>
      <c r="X402" s="26">
        <f t="shared" si="16"/>
        <v>1</v>
      </c>
      <c r="Y402" s="25">
        <f t="shared" si="17"/>
        <v>52</v>
      </c>
      <c r="Z402" s="30">
        <v>44927</v>
      </c>
      <c r="AA402" s="25">
        <v>24</v>
      </c>
      <c r="AB402" s="25">
        <f t="shared" si="14"/>
        <v>141</v>
      </c>
      <c r="AC402" s="25">
        <f t="shared" si="15"/>
        <v>536</v>
      </c>
      <c r="AD402" s="31">
        <f t="shared" si="18"/>
        <v>0.1702127659574468</v>
      </c>
      <c r="AE402" s="32">
        <f t="shared" si="19"/>
        <v>4.4776119402985072E-2</v>
      </c>
    </row>
    <row r="403" spans="13:31" x14ac:dyDescent="0.25">
      <c r="M403" s="23">
        <v>44928</v>
      </c>
      <c r="N403" s="12">
        <v>35</v>
      </c>
      <c r="X403" s="26">
        <f t="shared" si="16"/>
        <v>1</v>
      </c>
      <c r="Y403" s="25">
        <f t="shared" si="17"/>
        <v>1</v>
      </c>
      <c r="Z403" s="30">
        <v>44928</v>
      </c>
      <c r="AA403" s="25">
        <v>35</v>
      </c>
      <c r="AB403" s="25">
        <f t="shared" si="14"/>
        <v>190</v>
      </c>
      <c r="AC403" s="25">
        <f t="shared" si="15"/>
        <v>536</v>
      </c>
      <c r="AD403" s="31">
        <f t="shared" si="18"/>
        <v>0.18421052631578946</v>
      </c>
      <c r="AE403" s="32">
        <f t="shared" si="19"/>
        <v>6.5298507462686561E-2</v>
      </c>
    </row>
    <row r="404" spans="13:31" x14ac:dyDescent="0.25">
      <c r="M404" s="23">
        <v>44929</v>
      </c>
      <c r="N404" s="12">
        <v>40</v>
      </c>
      <c r="X404" s="26">
        <f t="shared" si="16"/>
        <v>1</v>
      </c>
      <c r="Y404" s="25">
        <f t="shared" si="17"/>
        <v>1</v>
      </c>
      <c r="Z404" s="30">
        <v>44929</v>
      </c>
      <c r="AA404" s="25">
        <v>40</v>
      </c>
      <c r="AB404" s="25">
        <f t="shared" si="14"/>
        <v>190</v>
      </c>
      <c r="AC404" s="25">
        <f t="shared" si="15"/>
        <v>536</v>
      </c>
      <c r="AD404" s="31">
        <f t="shared" si="18"/>
        <v>0.21052631578947367</v>
      </c>
      <c r="AE404" s="32">
        <f t="shared" si="19"/>
        <v>7.4626865671641784E-2</v>
      </c>
    </row>
    <row r="405" spans="13:31" x14ac:dyDescent="0.25">
      <c r="M405" s="23">
        <v>44930</v>
      </c>
      <c r="N405" s="12">
        <v>46</v>
      </c>
      <c r="X405" s="26">
        <f t="shared" si="16"/>
        <v>1</v>
      </c>
      <c r="Y405" s="25">
        <f t="shared" si="17"/>
        <v>1</v>
      </c>
      <c r="Z405" s="30">
        <v>44930</v>
      </c>
      <c r="AA405" s="25">
        <v>46</v>
      </c>
      <c r="AB405" s="25">
        <f t="shared" si="14"/>
        <v>190</v>
      </c>
      <c r="AC405" s="25">
        <f t="shared" si="15"/>
        <v>536</v>
      </c>
      <c r="AD405" s="31">
        <f t="shared" si="18"/>
        <v>0.24210526315789474</v>
      </c>
      <c r="AE405" s="32">
        <f t="shared" si="19"/>
        <v>8.5820895522388058E-2</v>
      </c>
    </row>
    <row r="406" spans="13:31" x14ac:dyDescent="0.25">
      <c r="M406" s="23">
        <v>44931</v>
      </c>
      <c r="N406" s="12">
        <v>36</v>
      </c>
      <c r="X406" s="26">
        <f t="shared" si="16"/>
        <v>1</v>
      </c>
      <c r="Y406" s="25">
        <f t="shared" si="17"/>
        <v>1</v>
      </c>
      <c r="Z406" s="30">
        <v>44931</v>
      </c>
      <c r="AA406" s="25">
        <v>36</v>
      </c>
      <c r="AB406" s="25">
        <f t="shared" si="14"/>
        <v>190</v>
      </c>
      <c r="AC406" s="25">
        <f t="shared" si="15"/>
        <v>536</v>
      </c>
      <c r="AD406" s="31">
        <f t="shared" si="18"/>
        <v>0.18947368421052632</v>
      </c>
      <c r="AE406" s="32">
        <f t="shared" si="19"/>
        <v>6.7164179104477612E-2</v>
      </c>
    </row>
    <row r="407" spans="13:31" x14ac:dyDescent="0.25">
      <c r="M407" s="23">
        <v>44932</v>
      </c>
      <c r="N407" s="12">
        <v>46</v>
      </c>
      <c r="X407" s="26">
        <f t="shared" si="16"/>
        <v>1</v>
      </c>
      <c r="Y407" s="25">
        <f t="shared" si="17"/>
        <v>1</v>
      </c>
      <c r="Z407" s="30">
        <v>44932</v>
      </c>
      <c r="AA407" s="25">
        <v>46</v>
      </c>
      <c r="AB407" s="25">
        <f t="shared" si="14"/>
        <v>190</v>
      </c>
      <c r="AC407" s="25">
        <f t="shared" si="15"/>
        <v>536</v>
      </c>
      <c r="AD407" s="31">
        <f t="shared" si="18"/>
        <v>0.24210526315789474</v>
      </c>
      <c r="AE407" s="32">
        <f t="shared" si="19"/>
        <v>8.5820895522388058E-2</v>
      </c>
    </row>
    <row r="408" spans="13:31" x14ac:dyDescent="0.25">
      <c r="M408" s="23">
        <v>44933</v>
      </c>
      <c r="N408" s="12">
        <v>35</v>
      </c>
      <c r="X408" s="26">
        <f t="shared" si="16"/>
        <v>1</v>
      </c>
      <c r="Y408" s="25">
        <f t="shared" si="17"/>
        <v>1</v>
      </c>
      <c r="Z408" s="30">
        <v>44933</v>
      </c>
      <c r="AA408" s="25">
        <v>35</v>
      </c>
      <c r="AB408" s="25">
        <f t="shared" si="14"/>
        <v>190</v>
      </c>
      <c r="AC408" s="25">
        <f t="shared" si="15"/>
        <v>536</v>
      </c>
      <c r="AD408" s="31">
        <f t="shared" si="18"/>
        <v>0.18421052631578946</v>
      </c>
      <c r="AE408" s="32">
        <f t="shared" si="19"/>
        <v>6.5298507462686561E-2</v>
      </c>
    </row>
    <row r="409" spans="13:31" x14ac:dyDescent="0.25">
      <c r="M409" s="23">
        <v>44934</v>
      </c>
      <c r="N409" s="12">
        <v>53</v>
      </c>
      <c r="X409" s="26">
        <f t="shared" si="16"/>
        <v>1</v>
      </c>
      <c r="Y409" s="25">
        <f t="shared" si="17"/>
        <v>1</v>
      </c>
      <c r="Z409" s="30">
        <v>44934</v>
      </c>
      <c r="AA409" s="25">
        <v>53</v>
      </c>
      <c r="AB409" s="25">
        <f t="shared" si="14"/>
        <v>190</v>
      </c>
      <c r="AC409" s="25">
        <f t="shared" si="15"/>
        <v>536</v>
      </c>
      <c r="AD409" s="31">
        <f t="shared" si="18"/>
        <v>0.27894736842105261</v>
      </c>
      <c r="AE409" s="32">
        <f t="shared" si="19"/>
        <v>9.8880597014925367E-2</v>
      </c>
    </row>
    <row r="410" spans="13:31" x14ac:dyDescent="0.25">
      <c r="M410" s="23">
        <v>44935</v>
      </c>
      <c r="N410" s="12">
        <v>53</v>
      </c>
      <c r="X410" s="26">
        <f t="shared" si="16"/>
        <v>1</v>
      </c>
      <c r="Y410" s="25">
        <f t="shared" si="17"/>
        <v>2</v>
      </c>
      <c r="Z410" s="30">
        <v>44935</v>
      </c>
      <c r="AA410" s="25">
        <v>53</v>
      </c>
      <c r="AB410" s="25">
        <f t="shared" si="14"/>
        <v>233</v>
      </c>
      <c r="AC410" s="25">
        <f t="shared" si="15"/>
        <v>536</v>
      </c>
      <c r="AD410" s="31">
        <f t="shared" si="18"/>
        <v>0.22746781115879827</v>
      </c>
      <c r="AE410" s="32">
        <f t="shared" si="19"/>
        <v>9.8880597014925367E-2</v>
      </c>
    </row>
    <row r="411" spans="13:31" x14ac:dyDescent="0.25">
      <c r="M411" s="23">
        <v>44936</v>
      </c>
      <c r="N411" s="12">
        <v>52</v>
      </c>
      <c r="X411" s="26">
        <f t="shared" si="16"/>
        <v>1</v>
      </c>
      <c r="Y411" s="25">
        <f t="shared" si="17"/>
        <v>2</v>
      </c>
      <c r="Z411" s="30">
        <v>44936</v>
      </c>
      <c r="AA411" s="25">
        <v>52</v>
      </c>
      <c r="AB411" s="25">
        <f t="shared" ref="AB411:AB474" si="20">VLOOKUP(Y411,Q:R,2,0)</f>
        <v>233</v>
      </c>
      <c r="AC411" s="25">
        <f t="shared" ref="AC411:AC474" si="21">VLOOKUP(X411,T:V,3,0)</f>
        <v>536</v>
      </c>
      <c r="AD411" s="31">
        <f t="shared" si="18"/>
        <v>0.22317596566523606</v>
      </c>
      <c r="AE411" s="32">
        <f t="shared" si="19"/>
        <v>9.7014925373134331E-2</v>
      </c>
    </row>
    <row r="412" spans="13:31" x14ac:dyDescent="0.25">
      <c r="M412" s="23">
        <v>44937</v>
      </c>
      <c r="N412" s="12">
        <v>65</v>
      </c>
      <c r="X412" s="26">
        <f t="shared" ref="X412:X475" si="22">MONTH(Z412)</f>
        <v>1</v>
      </c>
      <c r="Y412" s="25">
        <f t="shared" ref="Y412:Y475" si="23">_xlfn.ISOWEEKNUM(Z412)</f>
        <v>2</v>
      </c>
      <c r="Z412" s="30">
        <v>44937</v>
      </c>
      <c r="AA412" s="25">
        <v>65</v>
      </c>
      <c r="AB412" s="25">
        <f t="shared" si="20"/>
        <v>233</v>
      </c>
      <c r="AC412" s="25">
        <f t="shared" si="21"/>
        <v>536</v>
      </c>
      <c r="AD412" s="31">
        <f t="shared" ref="AD412:AD475" si="24">AA412/AB412</f>
        <v>0.27896995708154504</v>
      </c>
      <c r="AE412" s="32">
        <f t="shared" ref="AE412:AE475" si="25">AA412/AC412</f>
        <v>0.12126865671641791</v>
      </c>
    </row>
    <row r="413" spans="13:31" x14ac:dyDescent="0.25">
      <c r="M413" s="23">
        <v>44938</v>
      </c>
      <c r="N413" s="12">
        <v>52</v>
      </c>
      <c r="X413" s="26">
        <f t="shared" si="22"/>
        <v>1</v>
      </c>
      <c r="Y413" s="25">
        <f t="shared" si="23"/>
        <v>2</v>
      </c>
      <c r="Z413" s="30">
        <v>44938</v>
      </c>
      <c r="AA413" s="25">
        <v>52</v>
      </c>
      <c r="AB413" s="25">
        <f t="shared" si="20"/>
        <v>233</v>
      </c>
      <c r="AC413" s="25">
        <f t="shared" si="21"/>
        <v>536</v>
      </c>
      <c r="AD413" s="31">
        <f t="shared" si="24"/>
        <v>0.22317596566523606</v>
      </c>
      <c r="AE413" s="32">
        <f t="shared" si="25"/>
        <v>9.7014925373134331E-2</v>
      </c>
    </row>
    <row r="414" spans="13:31" x14ac:dyDescent="0.25">
      <c r="M414" s="23">
        <v>44939</v>
      </c>
      <c r="N414" s="12">
        <v>62</v>
      </c>
      <c r="X414" s="26">
        <f t="shared" si="22"/>
        <v>1</v>
      </c>
      <c r="Y414" s="25">
        <f t="shared" si="23"/>
        <v>2</v>
      </c>
      <c r="Z414" s="30">
        <v>44939</v>
      </c>
      <c r="AA414" s="25">
        <v>62</v>
      </c>
      <c r="AB414" s="25">
        <f t="shared" si="20"/>
        <v>233</v>
      </c>
      <c r="AC414" s="25">
        <f t="shared" si="21"/>
        <v>536</v>
      </c>
      <c r="AD414" s="31">
        <f t="shared" si="24"/>
        <v>0.26609442060085836</v>
      </c>
      <c r="AE414" s="32">
        <f t="shared" si="25"/>
        <v>0.11567164179104478</v>
      </c>
    </row>
    <row r="415" spans="13:31" x14ac:dyDescent="0.25">
      <c r="M415" s="23">
        <v>44940</v>
      </c>
      <c r="N415" s="12">
        <v>77</v>
      </c>
      <c r="X415" s="26">
        <f t="shared" si="22"/>
        <v>1</v>
      </c>
      <c r="Y415" s="25">
        <f t="shared" si="23"/>
        <v>2</v>
      </c>
      <c r="Z415" s="30">
        <v>44940</v>
      </c>
      <c r="AA415" s="25">
        <v>77</v>
      </c>
      <c r="AB415" s="25">
        <f t="shared" si="20"/>
        <v>233</v>
      </c>
      <c r="AC415" s="25">
        <f t="shared" si="21"/>
        <v>536</v>
      </c>
      <c r="AD415" s="31">
        <f t="shared" si="24"/>
        <v>0.33047210300429186</v>
      </c>
      <c r="AE415" s="32">
        <f t="shared" si="25"/>
        <v>0.14365671641791045</v>
      </c>
    </row>
    <row r="416" spans="13:31" x14ac:dyDescent="0.25">
      <c r="M416" s="23">
        <v>44941</v>
      </c>
      <c r="N416" s="12">
        <v>61</v>
      </c>
      <c r="X416" s="26">
        <f t="shared" si="22"/>
        <v>1</v>
      </c>
      <c r="Y416" s="25">
        <f t="shared" si="23"/>
        <v>2</v>
      </c>
      <c r="Z416" s="30">
        <v>44941</v>
      </c>
      <c r="AA416" s="25">
        <v>61</v>
      </c>
      <c r="AB416" s="25">
        <f t="shared" si="20"/>
        <v>233</v>
      </c>
      <c r="AC416" s="25">
        <f t="shared" si="21"/>
        <v>536</v>
      </c>
      <c r="AD416" s="31">
        <f t="shared" si="24"/>
        <v>0.26180257510729615</v>
      </c>
      <c r="AE416" s="32">
        <f t="shared" si="25"/>
        <v>0.11380597014925373</v>
      </c>
    </row>
    <row r="417" spans="13:31" x14ac:dyDescent="0.25">
      <c r="M417" s="23">
        <v>44942</v>
      </c>
      <c r="N417" s="12">
        <v>70</v>
      </c>
      <c r="X417" s="26">
        <f t="shared" si="22"/>
        <v>1</v>
      </c>
      <c r="Y417" s="25">
        <f t="shared" si="23"/>
        <v>3</v>
      </c>
      <c r="Z417" s="30">
        <v>44942</v>
      </c>
      <c r="AA417" s="25">
        <v>70</v>
      </c>
      <c r="AB417" s="25">
        <f t="shared" si="20"/>
        <v>272</v>
      </c>
      <c r="AC417" s="25">
        <f t="shared" si="21"/>
        <v>536</v>
      </c>
      <c r="AD417" s="31">
        <f t="shared" si="24"/>
        <v>0.25735294117647056</v>
      </c>
      <c r="AE417" s="32">
        <f t="shared" si="25"/>
        <v>0.13059701492537312</v>
      </c>
    </row>
    <row r="418" spans="13:31" x14ac:dyDescent="0.25">
      <c r="M418" s="23">
        <v>44943</v>
      </c>
      <c r="N418" s="12">
        <v>66</v>
      </c>
      <c r="X418" s="26">
        <f t="shared" si="22"/>
        <v>1</v>
      </c>
      <c r="Y418" s="25">
        <f t="shared" si="23"/>
        <v>3</v>
      </c>
      <c r="Z418" s="30">
        <v>44943</v>
      </c>
      <c r="AA418" s="25">
        <v>66</v>
      </c>
      <c r="AB418" s="25">
        <f t="shared" si="20"/>
        <v>272</v>
      </c>
      <c r="AC418" s="25">
        <f t="shared" si="21"/>
        <v>536</v>
      </c>
      <c r="AD418" s="31">
        <f t="shared" si="24"/>
        <v>0.24264705882352941</v>
      </c>
      <c r="AE418" s="32">
        <f t="shared" si="25"/>
        <v>0.12313432835820895</v>
      </c>
    </row>
    <row r="419" spans="13:31" x14ac:dyDescent="0.25">
      <c r="M419" s="23">
        <v>44944</v>
      </c>
      <c r="N419" s="12">
        <v>73</v>
      </c>
      <c r="X419" s="26">
        <f t="shared" si="22"/>
        <v>1</v>
      </c>
      <c r="Y419" s="25">
        <f t="shared" si="23"/>
        <v>3</v>
      </c>
      <c r="Z419" s="30">
        <v>44944</v>
      </c>
      <c r="AA419" s="25">
        <v>73</v>
      </c>
      <c r="AB419" s="25">
        <f t="shared" si="20"/>
        <v>272</v>
      </c>
      <c r="AC419" s="25">
        <f t="shared" si="21"/>
        <v>536</v>
      </c>
      <c r="AD419" s="31">
        <f t="shared" si="24"/>
        <v>0.26838235294117646</v>
      </c>
      <c r="AE419" s="32">
        <f t="shared" si="25"/>
        <v>0.13619402985074627</v>
      </c>
    </row>
    <row r="420" spans="13:31" x14ac:dyDescent="0.25">
      <c r="M420" s="23">
        <v>44945</v>
      </c>
      <c r="N420" s="12">
        <v>73</v>
      </c>
      <c r="X420" s="26">
        <f t="shared" si="22"/>
        <v>1</v>
      </c>
      <c r="Y420" s="25">
        <f t="shared" si="23"/>
        <v>3</v>
      </c>
      <c r="Z420" s="30">
        <v>44945</v>
      </c>
      <c r="AA420" s="25">
        <v>73</v>
      </c>
      <c r="AB420" s="25">
        <f t="shared" si="20"/>
        <v>272</v>
      </c>
      <c r="AC420" s="25">
        <f t="shared" si="21"/>
        <v>536</v>
      </c>
      <c r="AD420" s="31">
        <f t="shared" si="24"/>
        <v>0.26838235294117646</v>
      </c>
      <c r="AE420" s="32">
        <f t="shared" si="25"/>
        <v>0.13619402985074627</v>
      </c>
    </row>
    <row r="421" spans="13:31" x14ac:dyDescent="0.25">
      <c r="M421" s="23">
        <v>44946</v>
      </c>
      <c r="N421" s="12">
        <v>80</v>
      </c>
      <c r="X421" s="26">
        <f t="shared" si="22"/>
        <v>1</v>
      </c>
      <c r="Y421" s="25">
        <f t="shared" si="23"/>
        <v>3</v>
      </c>
      <c r="Z421" s="30">
        <v>44946</v>
      </c>
      <c r="AA421" s="25">
        <v>80</v>
      </c>
      <c r="AB421" s="25">
        <f t="shared" si="20"/>
        <v>272</v>
      </c>
      <c r="AC421" s="25">
        <f t="shared" si="21"/>
        <v>536</v>
      </c>
      <c r="AD421" s="31">
        <f t="shared" si="24"/>
        <v>0.29411764705882354</v>
      </c>
      <c r="AE421" s="32">
        <f t="shared" si="25"/>
        <v>0.14925373134328357</v>
      </c>
    </row>
    <row r="422" spans="13:31" x14ac:dyDescent="0.25">
      <c r="M422" s="23">
        <v>44947</v>
      </c>
      <c r="N422" s="12">
        <v>75</v>
      </c>
      <c r="X422" s="26">
        <f t="shared" si="22"/>
        <v>1</v>
      </c>
      <c r="Y422" s="25">
        <f t="shared" si="23"/>
        <v>3</v>
      </c>
      <c r="Z422" s="30">
        <v>44947</v>
      </c>
      <c r="AA422" s="25">
        <v>75</v>
      </c>
      <c r="AB422" s="25">
        <f t="shared" si="20"/>
        <v>272</v>
      </c>
      <c r="AC422" s="25">
        <f t="shared" si="21"/>
        <v>536</v>
      </c>
      <c r="AD422" s="31">
        <f t="shared" si="24"/>
        <v>0.27573529411764708</v>
      </c>
      <c r="AE422" s="32">
        <f t="shared" si="25"/>
        <v>0.13992537313432835</v>
      </c>
    </row>
    <row r="423" spans="13:31" x14ac:dyDescent="0.25">
      <c r="M423" s="23">
        <v>44948</v>
      </c>
      <c r="N423" s="12">
        <v>90</v>
      </c>
      <c r="X423" s="26">
        <f t="shared" si="22"/>
        <v>1</v>
      </c>
      <c r="Y423" s="25">
        <f t="shared" si="23"/>
        <v>3</v>
      </c>
      <c r="Z423" s="30">
        <v>44948</v>
      </c>
      <c r="AA423" s="25">
        <v>90</v>
      </c>
      <c r="AB423" s="25">
        <f t="shared" si="20"/>
        <v>272</v>
      </c>
      <c r="AC423" s="25">
        <f t="shared" si="21"/>
        <v>536</v>
      </c>
      <c r="AD423" s="31">
        <f t="shared" si="24"/>
        <v>0.33088235294117646</v>
      </c>
      <c r="AE423" s="32">
        <f t="shared" si="25"/>
        <v>0.16791044776119404</v>
      </c>
    </row>
    <row r="424" spans="13:31" x14ac:dyDescent="0.25">
      <c r="M424" s="23">
        <v>44949</v>
      </c>
      <c r="N424" s="12">
        <v>78</v>
      </c>
      <c r="X424" s="26">
        <f t="shared" si="22"/>
        <v>1</v>
      </c>
      <c r="Y424" s="25">
        <f t="shared" si="23"/>
        <v>4</v>
      </c>
      <c r="Z424" s="30">
        <v>44949</v>
      </c>
      <c r="AA424" s="25">
        <v>78</v>
      </c>
      <c r="AB424" s="25">
        <f t="shared" si="20"/>
        <v>295</v>
      </c>
      <c r="AC424" s="25">
        <f t="shared" si="21"/>
        <v>536</v>
      </c>
      <c r="AD424" s="31">
        <f t="shared" si="24"/>
        <v>0.26440677966101694</v>
      </c>
      <c r="AE424" s="32">
        <f t="shared" si="25"/>
        <v>0.1455223880597015</v>
      </c>
    </row>
    <row r="425" spans="13:31" x14ac:dyDescent="0.25">
      <c r="M425" s="23">
        <v>44950</v>
      </c>
      <c r="N425" s="12">
        <v>90</v>
      </c>
      <c r="X425" s="26">
        <f t="shared" si="22"/>
        <v>1</v>
      </c>
      <c r="Y425" s="25">
        <f t="shared" si="23"/>
        <v>4</v>
      </c>
      <c r="Z425" s="30">
        <v>44950</v>
      </c>
      <c r="AA425" s="25">
        <v>90</v>
      </c>
      <c r="AB425" s="25">
        <f t="shared" si="20"/>
        <v>295</v>
      </c>
      <c r="AC425" s="25">
        <f t="shared" si="21"/>
        <v>536</v>
      </c>
      <c r="AD425" s="31">
        <f t="shared" si="24"/>
        <v>0.30508474576271188</v>
      </c>
      <c r="AE425" s="32">
        <f t="shared" si="25"/>
        <v>0.16791044776119404</v>
      </c>
    </row>
    <row r="426" spans="13:31" x14ac:dyDescent="0.25">
      <c r="M426" s="23">
        <v>44951</v>
      </c>
      <c r="N426" s="12">
        <v>88</v>
      </c>
      <c r="X426" s="26">
        <f t="shared" si="22"/>
        <v>1</v>
      </c>
      <c r="Y426" s="25">
        <f t="shared" si="23"/>
        <v>4</v>
      </c>
      <c r="Z426" s="30">
        <v>44951</v>
      </c>
      <c r="AA426" s="25">
        <v>88</v>
      </c>
      <c r="AB426" s="25">
        <f t="shared" si="20"/>
        <v>295</v>
      </c>
      <c r="AC426" s="25">
        <f t="shared" si="21"/>
        <v>536</v>
      </c>
      <c r="AD426" s="31">
        <f t="shared" si="24"/>
        <v>0.29830508474576273</v>
      </c>
      <c r="AE426" s="32">
        <f t="shared" si="25"/>
        <v>0.16417910447761194</v>
      </c>
    </row>
    <row r="427" spans="13:31" x14ac:dyDescent="0.25">
      <c r="M427" s="23">
        <v>44952</v>
      </c>
      <c r="N427" s="12">
        <v>83</v>
      </c>
      <c r="X427" s="26">
        <f t="shared" si="22"/>
        <v>1</v>
      </c>
      <c r="Y427" s="25">
        <f t="shared" si="23"/>
        <v>4</v>
      </c>
      <c r="Z427" s="30">
        <v>44952</v>
      </c>
      <c r="AA427" s="25">
        <v>83</v>
      </c>
      <c r="AB427" s="25">
        <f t="shared" si="20"/>
        <v>295</v>
      </c>
      <c r="AC427" s="25">
        <f t="shared" si="21"/>
        <v>536</v>
      </c>
      <c r="AD427" s="31">
        <f t="shared" si="24"/>
        <v>0.28135593220338984</v>
      </c>
      <c r="AE427" s="32">
        <f t="shared" si="25"/>
        <v>0.15485074626865672</v>
      </c>
    </row>
    <row r="428" spans="13:31" x14ac:dyDescent="0.25">
      <c r="M428" s="23">
        <v>44953</v>
      </c>
      <c r="N428" s="12">
        <v>92</v>
      </c>
      <c r="X428" s="26">
        <f t="shared" si="22"/>
        <v>1</v>
      </c>
      <c r="Y428" s="25">
        <f t="shared" si="23"/>
        <v>4</v>
      </c>
      <c r="Z428" s="30">
        <v>44953</v>
      </c>
      <c r="AA428" s="25">
        <v>92</v>
      </c>
      <c r="AB428" s="25">
        <f t="shared" si="20"/>
        <v>295</v>
      </c>
      <c r="AC428" s="25">
        <f t="shared" si="21"/>
        <v>536</v>
      </c>
      <c r="AD428" s="31">
        <f t="shared" si="24"/>
        <v>0.31186440677966104</v>
      </c>
      <c r="AE428" s="32">
        <f t="shared" si="25"/>
        <v>0.17164179104477612</v>
      </c>
    </row>
    <row r="429" spans="13:31" x14ac:dyDescent="0.25">
      <c r="M429" s="23">
        <v>44954</v>
      </c>
      <c r="N429" s="12">
        <v>99</v>
      </c>
      <c r="X429" s="26">
        <f t="shared" si="22"/>
        <v>1</v>
      </c>
      <c r="Y429" s="25">
        <f t="shared" si="23"/>
        <v>4</v>
      </c>
      <c r="Z429" s="30">
        <v>44954</v>
      </c>
      <c r="AA429" s="25">
        <v>99</v>
      </c>
      <c r="AB429" s="25">
        <f t="shared" si="20"/>
        <v>295</v>
      </c>
      <c r="AC429" s="25">
        <f t="shared" si="21"/>
        <v>536</v>
      </c>
      <c r="AD429" s="31">
        <f t="shared" si="24"/>
        <v>0.33559322033898303</v>
      </c>
      <c r="AE429" s="32">
        <f t="shared" si="25"/>
        <v>0.18470149253731344</v>
      </c>
    </row>
    <row r="430" spans="13:31" x14ac:dyDescent="0.25">
      <c r="M430" s="23">
        <v>44955</v>
      </c>
      <c r="N430" s="12">
        <v>93</v>
      </c>
      <c r="X430" s="26">
        <f t="shared" si="22"/>
        <v>1</v>
      </c>
      <c r="Y430" s="25">
        <f t="shared" si="23"/>
        <v>4</v>
      </c>
      <c r="Z430" s="30">
        <v>44955</v>
      </c>
      <c r="AA430" s="25">
        <v>93</v>
      </c>
      <c r="AB430" s="25">
        <f t="shared" si="20"/>
        <v>295</v>
      </c>
      <c r="AC430" s="25">
        <f t="shared" si="21"/>
        <v>536</v>
      </c>
      <c r="AD430" s="31">
        <f t="shared" si="24"/>
        <v>0.31525423728813562</v>
      </c>
      <c r="AE430" s="32">
        <f t="shared" si="25"/>
        <v>0.17350746268656717</v>
      </c>
    </row>
    <row r="431" spans="13:31" x14ac:dyDescent="0.25">
      <c r="M431" s="23">
        <v>44956</v>
      </c>
      <c r="N431" s="12">
        <v>115</v>
      </c>
      <c r="X431" s="26">
        <f t="shared" si="22"/>
        <v>1</v>
      </c>
      <c r="Y431" s="25">
        <f t="shared" si="23"/>
        <v>5</v>
      </c>
      <c r="Z431" s="30">
        <v>44956</v>
      </c>
      <c r="AA431" s="25">
        <v>115</v>
      </c>
      <c r="AB431" s="25">
        <f t="shared" si="20"/>
        <v>346</v>
      </c>
      <c r="AC431" s="25">
        <f t="shared" si="21"/>
        <v>536</v>
      </c>
      <c r="AD431" s="31">
        <f t="shared" si="24"/>
        <v>0.33236994219653176</v>
      </c>
      <c r="AE431" s="32">
        <f t="shared" si="25"/>
        <v>0.21455223880597016</v>
      </c>
    </row>
    <row r="432" spans="13:31" x14ac:dyDescent="0.25">
      <c r="M432" s="23">
        <v>44957</v>
      </c>
      <c r="N432" s="12">
        <v>108</v>
      </c>
      <c r="X432" s="26">
        <f t="shared" si="22"/>
        <v>1</v>
      </c>
      <c r="Y432" s="25">
        <f t="shared" si="23"/>
        <v>5</v>
      </c>
      <c r="Z432" s="30">
        <v>44957</v>
      </c>
      <c r="AA432" s="25">
        <v>108</v>
      </c>
      <c r="AB432" s="25">
        <f t="shared" si="20"/>
        <v>346</v>
      </c>
      <c r="AC432" s="25">
        <f t="shared" si="21"/>
        <v>536</v>
      </c>
      <c r="AD432" s="31">
        <f t="shared" si="24"/>
        <v>0.31213872832369943</v>
      </c>
      <c r="AE432" s="32">
        <f t="shared" si="25"/>
        <v>0.20149253731343283</v>
      </c>
    </row>
    <row r="433" spans="13:31" x14ac:dyDescent="0.25">
      <c r="M433" s="23">
        <v>44958</v>
      </c>
      <c r="N433" s="12">
        <v>112</v>
      </c>
      <c r="X433" s="26">
        <f t="shared" si="22"/>
        <v>2</v>
      </c>
      <c r="Y433" s="25">
        <f t="shared" si="23"/>
        <v>5</v>
      </c>
      <c r="Z433" s="30">
        <v>44958</v>
      </c>
      <c r="AA433" s="25">
        <v>112</v>
      </c>
      <c r="AB433" s="25">
        <f t="shared" si="20"/>
        <v>346</v>
      </c>
      <c r="AC433" s="25">
        <f t="shared" si="21"/>
        <v>696</v>
      </c>
      <c r="AD433" s="31">
        <f t="shared" si="24"/>
        <v>0.32369942196531792</v>
      </c>
      <c r="AE433" s="32">
        <f t="shared" si="25"/>
        <v>0.16091954022988506</v>
      </c>
    </row>
    <row r="434" spans="13:31" x14ac:dyDescent="0.25">
      <c r="M434" s="23">
        <v>44959</v>
      </c>
      <c r="N434" s="12">
        <v>86</v>
      </c>
      <c r="X434" s="26">
        <f t="shared" si="22"/>
        <v>2</v>
      </c>
      <c r="Y434" s="25">
        <f t="shared" si="23"/>
        <v>5</v>
      </c>
      <c r="Z434" s="30">
        <v>44959</v>
      </c>
      <c r="AA434" s="25">
        <v>86</v>
      </c>
      <c r="AB434" s="25">
        <f t="shared" si="20"/>
        <v>346</v>
      </c>
      <c r="AC434" s="25">
        <f t="shared" si="21"/>
        <v>696</v>
      </c>
      <c r="AD434" s="31">
        <f t="shared" si="24"/>
        <v>0.24855491329479767</v>
      </c>
      <c r="AE434" s="32">
        <f t="shared" si="25"/>
        <v>0.1235632183908046</v>
      </c>
    </row>
    <row r="435" spans="13:31" x14ac:dyDescent="0.25">
      <c r="M435" s="23">
        <v>44960</v>
      </c>
      <c r="N435" s="12">
        <v>98</v>
      </c>
      <c r="X435" s="26">
        <f t="shared" si="22"/>
        <v>2</v>
      </c>
      <c r="Y435" s="25">
        <f t="shared" si="23"/>
        <v>5</v>
      </c>
      <c r="Z435" s="30">
        <v>44960</v>
      </c>
      <c r="AA435" s="25">
        <v>98</v>
      </c>
      <c r="AB435" s="25">
        <f t="shared" si="20"/>
        <v>346</v>
      </c>
      <c r="AC435" s="25">
        <f t="shared" si="21"/>
        <v>696</v>
      </c>
      <c r="AD435" s="31">
        <f t="shared" si="24"/>
        <v>0.2832369942196532</v>
      </c>
      <c r="AE435" s="32">
        <f t="shared" si="25"/>
        <v>0.14080459770114942</v>
      </c>
    </row>
    <row r="436" spans="13:31" x14ac:dyDescent="0.25">
      <c r="M436" s="23">
        <v>44961</v>
      </c>
      <c r="N436" s="12">
        <v>100</v>
      </c>
      <c r="X436" s="26">
        <f t="shared" si="22"/>
        <v>2</v>
      </c>
      <c r="Y436" s="25">
        <f t="shared" si="23"/>
        <v>5</v>
      </c>
      <c r="Z436" s="30">
        <v>44961</v>
      </c>
      <c r="AA436" s="25">
        <v>100</v>
      </c>
      <c r="AB436" s="25">
        <f t="shared" si="20"/>
        <v>346</v>
      </c>
      <c r="AC436" s="25">
        <f t="shared" si="21"/>
        <v>696</v>
      </c>
      <c r="AD436" s="31">
        <f t="shared" si="24"/>
        <v>0.28901734104046245</v>
      </c>
      <c r="AE436" s="32">
        <f t="shared" si="25"/>
        <v>0.14367816091954022</v>
      </c>
    </row>
    <row r="437" spans="13:31" x14ac:dyDescent="0.25">
      <c r="M437" s="23">
        <v>44962</v>
      </c>
      <c r="N437" s="12">
        <v>95</v>
      </c>
      <c r="X437" s="26">
        <f t="shared" si="22"/>
        <v>2</v>
      </c>
      <c r="Y437" s="25">
        <f t="shared" si="23"/>
        <v>5</v>
      </c>
      <c r="Z437" s="30">
        <v>44962</v>
      </c>
      <c r="AA437" s="25">
        <v>95</v>
      </c>
      <c r="AB437" s="25">
        <f t="shared" si="20"/>
        <v>346</v>
      </c>
      <c r="AC437" s="25">
        <f t="shared" si="21"/>
        <v>696</v>
      </c>
      <c r="AD437" s="31">
        <f t="shared" si="24"/>
        <v>0.27456647398843931</v>
      </c>
      <c r="AE437" s="32">
        <f t="shared" si="25"/>
        <v>0.13649425287356323</v>
      </c>
    </row>
    <row r="438" spans="13:31" x14ac:dyDescent="0.25">
      <c r="M438" s="23">
        <v>44963</v>
      </c>
      <c r="N438" s="12">
        <v>98</v>
      </c>
      <c r="X438" s="26">
        <f t="shared" si="22"/>
        <v>2</v>
      </c>
      <c r="Y438" s="25">
        <f t="shared" si="23"/>
        <v>6</v>
      </c>
      <c r="Z438" s="30">
        <v>44963</v>
      </c>
      <c r="AA438" s="25">
        <v>98</v>
      </c>
      <c r="AB438" s="25">
        <f t="shared" si="20"/>
        <v>340</v>
      </c>
      <c r="AC438" s="25">
        <f t="shared" si="21"/>
        <v>696</v>
      </c>
      <c r="AD438" s="31">
        <f t="shared" si="24"/>
        <v>0.28823529411764703</v>
      </c>
      <c r="AE438" s="32">
        <f t="shared" si="25"/>
        <v>0.14080459770114942</v>
      </c>
    </row>
    <row r="439" spans="13:31" x14ac:dyDescent="0.25">
      <c r="M439" s="23">
        <v>44964</v>
      </c>
      <c r="N439" s="12">
        <v>90</v>
      </c>
      <c r="X439" s="26">
        <f t="shared" si="22"/>
        <v>2</v>
      </c>
      <c r="Y439" s="25">
        <f t="shared" si="23"/>
        <v>6</v>
      </c>
      <c r="Z439" s="30">
        <v>44964</v>
      </c>
      <c r="AA439" s="25">
        <v>90</v>
      </c>
      <c r="AB439" s="25">
        <f t="shared" si="20"/>
        <v>340</v>
      </c>
      <c r="AC439" s="25">
        <f t="shared" si="21"/>
        <v>696</v>
      </c>
      <c r="AD439" s="31">
        <f t="shared" si="24"/>
        <v>0.26470588235294118</v>
      </c>
      <c r="AE439" s="32">
        <f t="shared" si="25"/>
        <v>0.12931034482758622</v>
      </c>
    </row>
    <row r="440" spans="13:31" x14ac:dyDescent="0.25">
      <c r="M440" s="23">
        <v>44965</v>
      </c>
      <c r="N440" s="12">
        <v>107</v>
      </c>
      <c r="X440" s="26">
        <f t="shared" si="22"/>
        <v>2</v>
      </c>
      <c r="Y440" s="25">
        <f t="shared" si="23"/>
        <v>6</v>
      </c>
      <c r="Z440" s="30">
        <v>44965</v>
      </c>
      <c r="AA440" s="25">
        <v>107</v>
      </c>
      <c r="AB440" s="25">
        <f t="shared" si="20"/>
        <v>340</v>
      </c>
      <c r="AC440" s="25">
        <f t="shared" si="21"/>
        <v>696</v>
      </c>
      <c r="AD440" s="31">
        <f t="shared" si="24"/>
        <v>0.31470588235294117</v>
      </c>
      <c r="AE440" s="32">
        <f t="shared" si="25"/>
        <v>0.15373563218390804</v>
      </c>
    </row>
    <row r="441" spans="13:31" x14ac:dyDescent="0.25">
      <c r="M441" s="23">
        <v>44966</v>
      </c>
      <c r="N441" s="12">
        <v>101</v>
      </c>
      <c r="X441" s="26">
        <f t="shared" si="22"/>
        <v>2</v>
      </c>
      <c r="Y441" s="25">
        <f t="shared" si="23"/>
        <v>6</v>
      </c>
      <c r="Z441" s="30">
        <v>44966</v>
      </c>
      <c r="AA441" s="25">
        <v>101</v>
      </c>
      <c r="AB441" s="25">
        <f t="shared" si="20"/>
        <v>340</v>
      </c>
      <c r="AC441" s="25">
        <f t="shared" si="21"/>
        <v>696</v>
      </c>
      <c r="AD441" s="31">
        <f t="shared" si="24"/>
        <v>0.29705882352941176</v>
      </c>
      <c r="AE441" s="32">
        <f t="shared" si="25"/>
        <v>0.14511494252873564</v>
      </c>
    </row>
    <row r="442" spans="13:31" x14ac:dyDescent="0.25">
      <c r="M442" s="23">
        <v>44967</v>
      </c>
      <c r="N442" s="12">
        <v>104</v>
      </c>
      <c r="X442" s="26">
        <f t="shared" si="22"/>
        <v>2</v>
      </c>
      <c r="Y442" s="25">
        <f t="shared" si="23"/>
        <v>6</v>
      </c>
      <c r="Z442" s="30">
        <v>44967</v>
      </c>
      <c r="AA442" s="25">
        <v>104</v>
      </c>
      <c r="AB442" s="25">
        <f t="shared" si="20"/>
        <v>340</v>
      </c>
      <c r="AC442" s="25">
        <f t="shared" si="21"/>
        <v>696</v>
      </c>
      <c r="AD442" s="31">
        <f t="shared" si="24"/>
        <v>0.30588235294117649</v>
      </c>
      <c r="AE442" s="32">
        <f t="shared" si="25"/>
        <v>0.14942528735632185</v>
      </c>
    </row>
    <row r="443" spans="13:31" x14ac:dyDescent="0.25">
      <c r="M443" s="23">
        <v>44968</v>
      </c>
      <c r="N443" s="12">
        <v>98</v>
      </c>
      <c r="X443" s="26">
        <f t="shared" si="22"/>
        <v>2</v>
      </c>
      <c r="Y443" s="25">
        <f t="shared" si="23"/>
        <v>6</v>
      </c>
      <c r="Z443" s="30">
        <v>44968</v>
      </c>
      <c r="AA443" s="25">
        <v>98</v>
      </c>
      <c r="AB443" s="25">
        <f t="shared" si="20"/>
        <v>340</v>
      </c>
      <c r="AC443" s="25">
        <f t="shared" si="21"/>
        <v>696</v>
      </c>
      <c r="AD443" s="31">
        <f t="shared" si="24"/>
        <v>0.28823529411764703</v>
      </c>
      <c r="AE443" s="32">
        <f t="shared" si="25"/>
        <v>0.14080459770114942</v>
      </c>
    </row>
    <row r="444" spans="13:31" x14ac:dyDescent="0.25">
      <c r="M444" s="23">
        <v>44969</v>
      </c>
      <c r="N444" s="12">
        <v>101</v>
      </c>
      <c r="X444" s="26">
        <f t="shared" si="22"/>
        <v>2</v>
      </c>
      <c r="Y444" s="25">
        <f t="shared" si="23"/>
        <v>6</v>
      </c>
      <c r="Z444" s="30">
        <v>44969</v>
      </c>
      <c r="AA444" s="25">
        <v>101</v>
      </c>
      <c r="AB444" s="25">
        <f t="shared" si="20"/>
        <v>340</v>
      </c>
      <c r="AC444" s="25">
        <f t="shared" si="21"/>
        <v>696</v>
      </c>
      <c r="AD444" s="31">
        <f t="shared" si="24"/>
        <v>0.29705882352941176</v>
      </c>
      <c r="AE444" s="32">
        <f t="shared" si="25"/>
        <v>0.14511494252873564</v>
      </c>
    </row>
    <row r="445" spans="13:31" x14ac:dyDescent="0.25">
      <c r="M445" s="23">
        <v>44970</v>
      </c>
      <c r="N445" s="12">
        <v>94</v>
      </c>
      <c r="X445" s="26">
        <f t="shared" si="22"/>
        <v>2</v>
      </c>
      <c r="Y445" s="25">
        <f t="shared" si="23"/>
        <v>7</v>
      </c>
      <c r="Z445" s="30">
        <v>44970</v>
      </c>
      <c r="AA445" s="25">
        <v>94</v>
      </c>
      <c r="AB445" s="25">
        <f t="shared" si="20"/>
        <v>347</v>
      </c>
      <c r="AC445" s="25">
        <f t="shared" si="21"/>
        <v>696</v>
      </c>
      <c r="AD445" s="31">
        <f t="shared" si="24"/>
        <v>0.27089337175792505</v>
      </c>
      <c r="AE445" s="32">
        <f t="shared" si="25"/>
        <v>0.13505747126436782</v>
      </c>
    </row>
    <row r="446" spans="13:31" x14ac:dyDescent="0.25">
      <c r="M446" s="23">
        <v>44971</v>
      </c>
      <c r="N446" s="12">
        <v>108</v>
      </c>
      <c r="X446" s="26">
        <f t="shared" si="22"/>
        <v>2</v>
      </c>
      <c r="Y446" s="25">
        <f t="shared" si="23"/>
        <v>7</v>
      </c>
      <c r="Z446" s="30">
        <v>44971</v>
      </c>
      <c r="AA446" s="25">
        <v>108</v>
      </c>
      <c r="AB446" s="25">
        <f t="shared" si="20"/>
        <v>347</v>
      </c>
      <c r="AC446" s="25">
        <f t="shared" si="21"/>
        <v>696</v>
      </c>
      <c r="AD446" s="31">
        <f t="shared" si="24"/>
        <v>0.31123919308357351</v>
      </c>
      <c r="AE446" s="32">
        <f t="shared" si="25"/>
        <v>0.15517241379310345</v>
      </c>
    </row>
    <row r="447" spans="13:31" x14ac:dyDescent="0.25">
      <c r="M447" s="23">
        <v>44972</v>
      </c>
      <c r="N447" s="12">
        <v>103</v>
      </c>
      <c r="X447" s="26">
        <f t="shared" si="22"/>
        <v>2</v>
      </c>
      <c r="Y447" s="25">
        <f t="shared" si="23"/>
        <v>7</v>
      </c>
      <c r="Z447" s="30">
        <v>44972</v>
      </c>
      <c r="AA447" s="25">
        <v>103</v>
      </c>
      <c r="AB447" s="25">
        <f t="shared" si="20"/>
        <v>347</v>
      </c>
      <c r="AC447" s="25">
        <f t="shared" si="21"/>
        <v>696</v>
      </c>
      <c r="AD447" s="31">
        <f t="shared" si="24"/>
        <v>0.29682997118155618</v>
      </c>
      <c r="AE447" s="32">
        <f t="shared" si="25"/>
        <v>0.14798850574712644</v>
      </c>
    </row>
    <row r="448" spans="13:31" x14ac:dyDescent="0.25">
      <c r="M448" s="23">
        <v>44973</v>
      </c>
      <c r="N448" s="12">
        <v>95</v>
      </c>
      <c r="X448" s="26">
        <f t="shared" si="22"/>
        <v>2</v>
      </c>
      <c r="Y448" s="25">
        <f t="shared" si="23"/>
        <v>7</v>
      </c>
      <c r="Z448" s="30">
        <v>44973</v>
      </c>
      <c r="AA448" s="25">
        <v>95</v>
      </c>
      <c r="AB448" s="25">
        <f t="shared" si="20"/>
        <v>347</v>
      </c>
      <c r="AC448" s="25">
        <f t="shared" si="21"/>
        <v>696</v>
      </c>
      <c r="AD448" s="31">
        <f t="shared" si="24"/>
        <v>0.2737752161383285</v>
      </c>
      <c r="AE448" s="32">
        <f t="shared" si="25"/>
        <v>0.13649425287356323</v>
      </c>
    </row>
    <row r="449" spans="13:31" x14ac:dyDescent="0.25">
      <c r="M449" s="23">
        <v>44974</v>
      </c>
      <c r="N449" s="12">
        <v>107</v>
      </c>
      <c r="X449" s="26">
        <f t="shared" si="22"/>
        <v>2</v>
      </c>
      <c r="Y449" s="25">
        <f t="shared" si="23"/>
        <v>7</v>
      </c>
      <c r="Z449" s="30">
        <v>44974</v>
      </c>
      <c r="AA449" s="25">
        <v>107</v>
      </c>
      <c r="AB449" s="25">
        <f t="shared" si="20"/>
        <v>347</v>
      </c>
      <c r="AC449" s="25">
        <f t="shared" si="21"/>
        <v>696</v>
      </c>
      <c r="AD449" s="31">
        <f t="shared" si="24"/>
        <v>0.30835734870317005</v>
      </c>
      <c r="AE449" s="32">
        <f t="shared" si="25"/>
        <v>0.15373563218390804</v>
      </c>
    </row>
    <row r="450" spans="13:31" x14ac:dyDescent="0.25">
      <c r="M450" s="23">
        <v>44975</v>
      </c>
      <c r="N450" s="12">
        <v>116</v>
      </c>
      <c r="X450" s="26">
        <f t="shared" si="22"/>
        <v>2</v>
      </c>
      <c r="Y450" s="25">
        <f t="shared" si="23"/>
        <v>7</v>
      </c>
      <c r="Z450" s="30">
        <v>44975</v>
      </c>
      <c r="AA450" s="25">
        <v>116</v>
      </c>
      <c r="AB450" s="25">
        <f t="shared" si="20"/>
        <v>347</v>
      </c>
      <c r="AC450" s="25">
        <f t="shared" si="21"/>
        <v>696</v>
      </c>
      <c r="AD450" s="31">
        <f t="shared" si="24"/>
        <v>0.33429394812680113</v>
      </c>
      <c r="AE450" s="32">
        <f t="shared" si="25"/>
        <v>0.16666666666666666</v>
      </c>
    </row>
    <row r="451" spans="13:31" x14ac:dyDescent="0.25">
      <c r="M451" s="23">
        <v>44976</v>
      </c>
      <c r="N451" s="12">
        <v>109</v>
      </c>
      <c r="X451" s="26">
        <f t="shared" si="22"/>
        <v>2</v>
      </c>
      <c r="Y451" s="25">
        <f t="shared" si="23"/>
        <v>7</v>
      </c>
      <c r="Z451" s="30">
        <v>44976</v>
      </c>
      <c r="AA451" s="25">
        <v>109</v>
      </c>
      <c r="AB451" s="25">
        <f t="shared" si="20"/>
        <v>347</v>
      </c>
      <c r="AC451" s="25">
        <f t="shared" si="21"/>
        <v>696</v>
      </c>
      <c r="AD451" s="31">
        <f t="shared" si="24"/>
        <v>0.31412103746397696</v>
      </c>
      <c r="AE451" s="32">
        <f t="shared" si="25"/>
        <v>0.15660919540229884</v>
      </c>
    </row>
    <row r="452" spans="13:31" x14ac:dyDescent="0.25">
      <c r="M452" s="23">
        <v>44977</v>
      </c>
      <c r="N452" s="12">
        <v>84</v>
      </c>
      <c r="X452" s="26">
        <f t="shared" si="22"/>
        <v>2</v>
      </c>
      <c r="Y452" s="25">
        <f t="shared" si="23"/>
        <v>8</v>
      </c>
      <c r="Z452" s="30">
        <v>44977</v>
      </c>
      <c r="AA452" s="25">
        <v>84</v>
      </c>
      <c r="AB452" s="25">
        <f t="shared" si="20"/>
        <v>384</v>
      </c>
      <c r="AC452" s="25">
        <f t="shared" si="21"/>
        <v>696</v>
      </c>
      <c r="AD452" s="31">
        <f t="shared" si="24"/>
        <v>0.21875</v>
      </c>
      <c r="AE452" s="32">
        <f t="shared" si="25"/>
        <v>0.1206896551724138</v>
      </c>
    </row>
    <row r="453" spans="13:31" x14ac:dyDescent="0.25">
      <c r="M453" s="23">
        <v>44978</v>
      </c>
      <c r="N453" s="12">
        <v>98</v>
      </c>
      <c r="X453" s="26">
        <f t="shared" si="22"/>
        <v>2</v>
      </c>
      <c r="Y453" s="25">
        <f t="shared" si="23"/>
        <v>8</v>
      </c>
      <c r="Z453" s="30">
        <v>44978</v>
      </c>
      <c r="AA453" s="25">
        <v>98</v>
      </c>
      <c r="AB453" s="25">
        <f t="shared" si="20"/>
        <v>384</v>
      </c>
      <c r="AC453" s="25">
        <f t="shared" si="21"/>
        <v>696</v>
      </c>
      <c r="AD453" s="31">
        <f t="shared" si="24"/>
        <v>0.25520833333333331</v>
      </c>
      <c r="AE453" s="32">
        <f t="shared" si="25"/>
        <v>0.14080459770114942</v>
      </c>
    </row>
    <row r="454" spans="13:31" x14ac:dyDescent="0.25">
      <c r="M454" s="23">
        <v>44979</v>
      </c>
      <c r="N454" s="12">
        <v>115</v>
      </c>
      <c r="X454" s="26">
        <f t="shared" si="22"/>
        <v>2</v>
      </c>
      <c r="Y454" s="25">
        <f t="shared" si="23"/>
        <v>8</v>
      </c>
      <c r="Z454" s="30">
        <v>44979</v>
      </c>
      <c r="AA454" s="25">
        <v>115</v>
      </c>
      <c r="AB454" s="25">
        <f t="shared" si="20"/>
        <v>384</v>
      </c>
      <c r="AC454" s="25">
        <f t="shared" si="21"/>
        <v>696</v>
      </c>
      <c r="AD454" s="31">
        <f t="shared" si="24"/>
        <v>0.29947916666666669</v>
      </c>
      <c r="AE454" s="32">
        <f t="shared" si="25"/>
        <v>0.16522988505747127</v>
      </c>
    </row>
    <row r="455" spans="13:31" x14ac:dyDescent="0.25">
      <c r="M455" s="23">
        <v>44980</v>
      </c>
      <c r="N455" s="12">
        <v>95</v>
      </c>
      <c r="X455" s="26">
        <f t="shared" si="22"/>
        <v>2</v>
      </c>
      <c r="Y455" s="25">
        <f t="shared" si="23"/>
        <v>8</v>
      </c>
      <c r="Z455" s="30">
        <v>44980</v>
      </c>
      <c r="AA455" s="25">
        <v>95</v>
      </c>
      <c r="AB455" s="25">
        <f t="shared" si="20"/>
        <v>384</v>
      </c>
      <c r="AC455" s="25">
        <f t="shared" si="21"/>
        <v>696</v>
      </c>
      <c r="AD455" s="31">
        <f t="shared" si="24"/>
        <v>0.24739583333333334</v>
      </c>
      <c r="AE455" s="32">
        <f t="shared" si="25"/>
        <v>0.13649425287356323</v>
      </c>
    </row>
    <row r="456" spans="13:31" x14ac:dyDescent="0.25">
      <c r="M456" s="23">
        <v>44981</v>
      </c>
      <c r="N456" s="12">
        <v>106</v>
      </c>
      <c r="X456" s="26">
        <f t="shared" si="22"/>
        <v>2</v>
      </c>
      <c r="Y456" s="25">
        <f t="shared" si="23"/>
        <v>8</v>
      </c>
      <c r="Z456" s="30">
        <v>44981</v>
      </c>
      <c r="AA456" s="25">
        <v>106</v>
      </c>
      <c r="AB456" s="25">
        <f t="shared" si="20"/>
        <v>384</v>
      </c>
      <c r="AC456" s="25">
        <f t="shared" si="21"/>
        <v>696</v>
      </c>
      <c r="AD456" s="31">
        <f t="shared" si="24"/>
        <v>0.27604166666666669</v>
      </c>
      <c r="AE456" s="32">
        <f t="shared" si="25"/>
        <v>0.15229885057471265</v>
      </c>
    </row>
    <row r="457" spans="13:31" x14ac:dyDescent="0.25">
      <c r="M457" s="23">
        <v>44982</v>
      </c>
      <c r="N457" s="12">
        <v>118</v>
      </c>
      <c r="X457" s="26">
        <f t="shared" si="22"/>
        <v>2</v>
      </c>
      <c r="Y457" s="25">
        <f t="shared" si="23"/>
        <v>8</v>
      </c>
      <c r="Z457" s="30">
        <v>44982</v>
      </c>
      <c r="AA457" s="25">
        <v>118</v>
      </c>
      <c r="AB457" s="25">
        <f t="shared" si="20"/>
        <v>384</v>
      </c>
      <c r="AC457" s="25">
        <f t="shared" si="21"/>
        <v>696</v>
      </c>
      <c r="AD457" s="31">
        <f t="shared" si="24"/>
        <v>0.30729166666666669</v>
      </c>
      <c r="AE457" s="32">
        <f t="shared" si="25"/>
        <v>0.16954022988505746</v>
      </c>
    </row>
    <row r="458" spans="13:31" x14ac:dyDescent="0.25">
      <c r="M458" s="23">
        <v>44983</v>
      </c>
      <c r="N458" s="12">
        <v>127</v>
      </c>
      <c r="X458" s="26">
        <f t="shared" si="22"/>
        <v>2</v>
      </c>
      <c r="Y458" s="25">
        <f t="shared" si="23"/>
        <v>8</v>
      </c>
      <c r="Z458" s="30">
        <v>44983</v>
      </c>
      <c r="AA458" s="25">
        <v>127</v>
      </c>
      <c r="AB458" s="25">
        <f t="shared" si="20"/>
        <v>384</v>
      </c>
      <c r="AC458" s="25">
        <f t="shared" si="21"/>
        <v>696</v>
      </c>
      <c r="AD458" s="31">
        <f t="shared" si="24"/>
        <v>0.33072916666666669</v>
      </c>
      <c r="AE458" s="32">
        <f t="shared" si="25"/>
        <v>0.18247126436781611</v>
      </c>
    </row>
    <row r="459" spans="13:31" x14ac:dyDescent="0.25">
      <c r="M459" s="23">
        <v>44984</v>
      </c>
      <c r="N459" s="12">
        <v>104</v>
      </c>
      <c r="X459" s="26">
        <f t="shared" si="22"/>
        <v>2</v>
      </c>
      <c r="Y459" s="25">
        <f t="shared" si="23"/>
        <v>9</v>
      </c>
      <c r="Z459" s="30">
        <v>44984</v>
      </c>
      <c r="AA459" s="25">
        <v>104</v>
      </c>
      <c r="AB459" s="25">
        <f t="shared" si="20"/>
        <v>611</v>
      </c>
      <c r="AC459" s="25">
        <f t="shared" si="21"/>
        <v>696</v>
      </c>
      <c r="AD459" s="31">
        <f t="shared" si="24"/>
        <v>0.1702127659574468</v>
      </c>
      <c r="AE459" s="32">
        <f t="shared" si="25"/>
        <v>0.14942528735632185</v>
      </c>
    </row>
    <row r="460" spans="13:31" x14ac:dyDescent="0.25">
      <c r="M460" s="23">
        <v>44985</v>
      </c>
      <c r="N460" s="12">
        <v>131</v>
      </c>
      <c r="X460" s="26">
        <f t="shared" si="22"/>
        <v>2</v>
      </c>
      <c r="Y460" s="25">
        <f t="shared" si="23"/>
        <v>9</v>
      </c>
      <c r="Z460" s="30">
        <v>44985</v>
      </c>
      <c r="AA460" s="25">
        <v>131</v>
      </c>
      <c r="AB460" s="25">
        <f t="shared" si="20"/>
        <v>611</v>
      </c>
      <c r="AC460" s="25">
        <f t="shared" si="21"/>
        <v>696</v>
      </c>
      <c r="AD460" s="31">
        <f t="shared" si="24"/>
        <v>0.2144026186579378</v>
      </c>
      <c r="AE460" s="32">
        <f t="shared" si="25"/>
        <v>0.18821839080459771</v>
      </c>
    </row>
    <row r="461" spans="13:31" x14ac:dyDescent="0.25">
      <c r="M461" s="23">
        <v>44986</v>
      </c>
      <c r="N461" s="12">
        <v>130</v>
      </c>
      <c r="X461" s="26">
        <f t="shared" si="22"/>
        <v>3</v>
      </c>
      <c r="Y461" s="25">
        <f t="shared" si="23"/>
        <v>9</v>
      </c>
      <c r="Z461" s="30">
        <v>44986</v>
      </c>
      <c r="AA461" s="25">
        <v>130</v>
      </c>
      <c r="AB461" s="25">
        <f t="shared" si="20"/>
        <v>611</v>
      </c>
      <c r="AC461" s="25">
        <f t="shared" si="21"/>
        <v>1544</v>
      </c>
      <c r="AD461" s="31">
        <f t="shared" si="24"/>
        <v>0.21276595744680851</v>
      </c>
      <c r="AE461" s="32">
        <f t="shared" si="25"/>
        <v>8.4196891191709838E-2</v>
      </c>
    </row>
    <row r="462" spans="13:31" x14ac:dyDescent="0.25">
      <c r="M462" s="23">
        <v>44987</v>
      </c>
      <c r="N462" s="12">
        <v>138</v>
      </c>
      <c r="X462" s="26">
        <f t="shared" si="22"/>
        <v>3</v>
      </c>
      <c r="Y462" s="25">
        <f t="shared" si="23"/>
        <v>9</v>
      </c>
      <c r="Z462" s="30">
        <v>44987</v>
      </c>
      <c r="AA462" s="25">
        <v>138</v>
      </c>
      <c r="AB462" s="25">
        <f t="shared" si="20"/>
        <v>611</v>
      </c>
      <c r="AC462" s="25">
        <f t="shared" si="21"/>
        <v>1544</v>
      </c>
      <c r="AD462" s="31">
        <f t="shared" si="24"/>
        <v>0.22585924713584288</v>
      </c>
      <c r="AE462" s="32">
        <f t="shared" si="25"/>
        <v>8.937823834196891E-2</v>
      </c>
    </row>
    <row r="463" spans="13:31" x14ac:dyDescent="0.25">
      <c r="M463" s="23">
        <v>44988</v>
      </c>
      <c r="N463" s="12">
        <v>167</v>
      </c>
      <c r="X463" s="26">
        <f t="shared" si="22"/>
        <v>3</v>
      </c>
      <c r="Y463" s="25">
        <f t="shared" si="23"/>
        <v>9</v>
      </c>
      <c r="Z463" s="30">
        <v>44988</v>
      </c>
      <c r="AA463" s="25">
        <v>167</v>
      </c>
      <c r="AB463" s="25">
        <f t="shared" si="20"/>
        <v>611</v>
      </c>
      <c r="AC463" s="25">
        <f t="shared" si="21"/>
        <v>1544</v>
      </c>
      <c r="AD463" s="31">
        <f t="shared" si="24"/>
        <v>0.27332242225859249</v>
      </c>
      <c r="AE463" s="32">
        <f t="shared" si="25"/>
        <v>0.10816062176165803</v>
      </c>
    </row>
    <row r="464" spans="13:31" x14ac:dyDescent="0.25">
      <c r="M464" s="23">
        <v>44989</v>
      </c>
      <c r="N464" s="12">
        <v>170</v>
      </c>
      <c r="X464" s="26">
        <f t="shared" si="22"/>
        <v>3</v>
      </c>
      <c r="Y464" s="25">
        <f t="shared" si="23"/>
        <v>9</v>
      </c>
      <c r="Z464" s="30">
        <v>44989</v>
      </c>
      <c r="AA464" s="25">
        <v>170</v>
      </c>
      <c r="AB464" s="25">
        <f t="shared" si="20"/>
        <v>611</v>
      </c>
      <c r="AC464" s="25">
        <f t="shared" si="21"/>
        <v>1544</v>
      </c>
      <c r="AD464" s="31">
        <f t="shared" si="24"/>
        <v>0.27823240589198034</v>
      </c>
      <c r="AE464" s="32">
        <f t="shared" si="25"/>
        <v>0.11010362694300518</v>
      </c>
    </row>
    <row r="465" spans="13:31" x14ac:dyDescent="0.25">
      <c r="M465" s="23">
        <v>44990</v>
      </c>
      <c r="N465" s="12">
        <v>165</v>
      </c>
      <c r="X465" s="26">
        <f t="shared" si="22"/>
        <v>3</v>
      </c>
      <c r="Y465" s="25">
        <f t="shared" si="23"/>
        <v>9</v>
      </c>
      <c r="Z465" s="30">
        <v>44990</v>
      </c>
      <c r="AA465" s="25">
        <v>165</v>
      </c>
      <c r="AB465" s="25">
        <f t="shared" si="20"/>
        <v>611</v>
      </c>
      <c r="AC465" s="25">
        <f t="shared" si="21"/>
        <v>1544</v>
      </c>
      <c r="AD465" s="31">
        <f t="shared" si="24"/>
        <v>0.27004909983633391</v>
      </c>
      <c r="AE465" s="32">
        <f t="shared" si="25"/>
        <v>0.10686528497409327</v>
      </c>
    </row>
    <row r="466" spans="13:31" x14ac:dyDescent="0.25">
      <c r="M466" s="23">
        <v>44991</v>
      </c>
      <c r="N466" s="12">
        <v>149</v>
      </c>
      <c r="X466" s="26">
        <f t="shared" si="22"/>
        <v>3</v>
      </c>
      <c r="Y466" s="25">
        <f t="shared" si="23"/>
        <v>10</v>
      </c>
      <c r="Z466" s="30">
        <v>44991</v>
      </c>
      <c r="AA466" s="25">
        <v>149</v>
      </c>
      <c r="AB466" s="25">
        <f t="shared" si="20"/>
        <v>712</v>
      </c>
      <c r="AC466" s="25">
        <f t="shared" si="21"/>
        <v>1544</v>
      </c>
      <c r="AD466" s="31">
        <f t="shared" si="24"/>
        <v>0.20926966292134833</v>
      </c>
      <c r="AE466" s="32">
        <f t="shared" si="25"/>
        <v>9.6502590673575125E-2</v>
      </c>
    </row>
    <row r="467" spans="13:31" x14ac:dyDescent="0.25">
      <c r="M467" s="23">
        <v>44992</v>
      </c>
      <c r="N467" s="12">
        <v>151</v>
      </c>
      <c r="X467" s="26">
        <f t="shared" si="22"/>
        <v>3</v>
      </c>
      <c r="Y467" s="25">
        <f t="shared" si="23"/>
        <v>10</v>
      </c>
      <c r="Z467" s="30">
        <v>44992</v>
      </c>
      <c r="AA467" s="25">
        <v>151</v>
      </c>
      <c r="AB467" s="25">
        <f t="shared" si="20"/>
        <v>712</v>
      </c>
      <c r="AC467" s="25">
        <f t="shared" si="21"/>
        <v>1544</v>
      </c>
      <c r="AD467" s="31">
        <f t="shared" si="24"/>
        <v>0.21207865168539325</v>
      </c>
      <c r="AE467" s="32">
        <f t="shared" si="25"/>
        <v>9.7797927461139897E-2</v>
      </c>
    </row>
    <row r="468" spans="13:31" x14ac:dyDescent="0.25">
      <c r="M468" s="23">
        <v>44993</v>
      </c>
      <c r="N468" s="12">
        <v>173</v>
      </c>
      <c r="X468" s="26">
        <f t="shared" si="22"/>
        <v>3</v>
      </c>
      <c r="Y468" s="25">
        <f t="shared" si="23"/>
        <v>10</v>
      </c>
      <c r="Z468" s="30">
        <v>44993</v>
      </c>
      <c r="AA468" s="25">
        <v>173</v>
      </c>
      <c r="AB468" s="25">
        <f t="shared" si="20"/>
        <v>712</v>
      </c>
      <c r="AC468" s="25">
        <f t="shared" si="21"/>
        <v>1544</v>
      </c>
      <c r="AD468" s="31">
        <f t="shared" si="24"/>
        <v>0.24297752808988765</v>
      </c>
      <c r="AE468" s="32">
        <f t="shared" si="25"/>
        <v>0.11204663212435233</v>
      </c>
    </row>
    <row r="469" spans="13:31" x14ac:dyDescent="0.25">
      <c r="M469" s="23">
        <v>44994</v>
      </c>
      <c r="N469" s="12">
        <v>150</v>
      </c>
      <c r="X469" s="26">
        <f t="shared" si="22"/>
        <v>3</v>
      </c>
      <c r="Y469" s="25">
        <f t="shared" si="23"/>
        <v>10</v>
      </c>
      <c r="Z469" s="30">
        <v>44994</v>
      </c>
      <c r="AA469" s="25">
        <v>150</v>
      </c>
      <c r="AB469" s="25">
        <f t="shared" si="20"/>
        <v>712</v>
      </c>
      <c r="AC469" s="25">
        <f t="shared" si="21"/>
        <v>1544</v>
      </c>
      <c r="AD469" s="31">
        <f t="shared" si="24"/>
        <v>0.21067415730337077</v>
      </c>
      <c r="AE469" s="32">
        <f t="shared" si="25"/>
        <v>9.7150259067357511E-2</v>
      </c>
    </row>
    <row r="470" spans="13:31" x14ac:dyDescent="0.25">
      <c r="M470" s="23">
        <v>44995</v>
      </c>
      <c r="N470" s="12">
        <v>162</v>
      </c>
      <c r="X470" s="26">
        <f t="shared" si="22"/>
        <v>3</v>
      </c>
      <c r="Y470" s="25">
        <f t="shared" si="23"/>
        <v>10</v>
      </c>
      <c r="Z470" s="30">
        <v>44995</v>
      </c>
      <c r="AA470" s="25">
        <v>162</v>
      </c>
      <c r="AB470" s="25">
        <f t="shared" si="20"/>
        <v>712</v>
      </c>
      <c r="AC470" s="25">
        <f t="shared" si="21"/>
        <v>1544</v>
      </c>
      <c r="AD470" s="31">
        <f t="shared" si="24"/>
        <v>0.22752808988764045</v>
      </c>
      <c r="AE470" s="32">
        <f t="shared" si="25"/>
        <v>0.10492227979274611</v>
      </c>
    </row>
    <row r="471" spans="13:31" x14ac:dyDescent="0.25">
      <c r="M471" s="23">
        <v>44996</v>
      </c>
      <c r="N471" s="12">
        <v>175</v>
      </c>
      <c r="X471" s="26">
        <f t="shared" si="22"/>
        <v>3</v>
      </c>
      <c r="Y471" s="25">
        <f t="shared" si="23"/>
        <v>10</v>
      </c>
      <c r="Z471" s="30">
        <v>44996</v>
      </c>
      <c r="AA471" s="25">
        <v>175</v>
      </c>
      <c r="AB471" s="25">
        <f t="shared" si="20"/>
        <v>712</v>
      </c>
      <c r="AC471" s="25">
        <f t="shared" si="21"/>
        <v>1544</v>
      </c>
      <c r="AD471" s="31">
        <f t="shared" si="24"/>
        <v>0.24578651685393257</v>
      </c>
      <c r="AE471" s="32">
        <f t="shared" si="25"/>
        <v>0.1133419689119171</v>
      </c>
    </row>
    <row r="472" spans="13:31" x14ac:dyDescent="0.25">
      <c r="M472" s="23">
        <v>44997</v>
      </c>
      <c r="N472" s="12">
        <v>176</v>
      </c>
      <c r="X472" s="26">
        <f t="shared" si="22"/>
        <v>3</v>
      </c>
      <c r="Y472" s="25">
        <f t="shared" si="23"/>
        <v>10</v>
      </c>
      <c r="Z472" s="30">
        <v>44997</v>
      </c>
      <c r="AA472" s="25">
        <v>176</v>
      </c>
      <c r="AB472" s="25">
        <f t="shared" si="20"/>
        <v>712</v>
      </c>
      <c r="AC472" s="25">
        <f t="shared" si="21"/>
        <v>1544</v>
      </c>
      <c r="AD472" s="31">
        <f t="shared" si="24"/>
        <v>0.24719101123595505</v>
      </c>
      <c r="AE472" s="32">
        <f t="shared" si="25"/>
        <v>0.11398963730569948</v>
      </c>
    </row>
    <row r="473" spans="13:31" x14ac:dyDescent="0.25">
      <c r="M473" s="23">
        <v>44998</v>
      </c>
      <c r="N473" s="12">
        <v>180</v>
      </c>
      <c r="X473" s="26">
        <f t="shared" si="22"/>
        <v>3</v>
      </c>
      <c r="Y473" s="25">
        <f t="shared" si="23"/>
        <v>11</v>
      </c>
      <c r="Z473" s="30">
        <v>44998</v>
      </c>
      <c r="AA473" s="25">
        <v>180</v>
      </c>
      <c r="AB473" s="25">
        <f t="shared" si="20"/>
        <v>772</v>
      </c>
      <c r="AC473" s="25">
        <f t="shared" si="21"/>
        <v>1544</v>
      </c>
      <c r="AD473" s="31">
        <f t="shared" si="24"/>
        <v>0.23316062176165803</v>
      </c>
      <c r="AE473" s="32">
        <f t="shared" si="25"/>
        <v>0.11658031088082901</v>
      </c>
    </row>
    <row r="474" spans="13:31" x14ac:dyDescent="0.25">
      <c r="M474" s="23">
        <v>44999</v>
      </c>
      <c r="N474" s="12">
        <v>168</v>
      </c>
      <c r="X474" s="26">
        <f t="shared" si="22"/>
        <v>3</v>
      </c>
      <c r="Y474" s="25">
        <f t="shared" si="23"/>
        <v>11</v>
      </c>
      <c r="Z474" s="30">
        <v>44999</v>
      </c>
      <c r="AA474" s="25">
        <v>168</v>
      </c>
      <c r="AB474" s="25">
        <f t="shared" si="20"/>
        <v>772</v>
      </c>
      <c r="AC474" s="25">
        <f t="shared" si="21"/>
        <v>1544</v>
      </c>
      <c r="AD474" s="31">
        <f t="shared" si="24"/>
        <v>0.21761658031088082</v>
      </c>
      <c r="AE474" s="32">
        <f t="shared" si="25"/>
        <v>0.10880829015544041</v>
      </c>
    </row>
    <row r="475" spans="13:31" x14ac:dyDescent="0.25">
      <c r="M475" s="23">
        <v>45000</v>
      </c>
      <c r="N475" s="12">
        <v>185</v>
      </c>
      <c r="X475" s="26">
        <f t="shared" si="22"/>
        <v>3</v>
      </c>
      <c r="Y475" s="25">
        <f t="shared" si="23"/>
        <v>11</v>
      </c>
      <c r="Z475" s="30">
        <v>45000</v>
      </c>
      <c r="AA475" s="25">
        <v>185</v>
      </c>
      <c r="AB475" s="25">
        <f t="shared" ref="AB475:AB521" si="26">VLOOKUP(Y475,Q:R,2,0)</f>
        <v>772</v>
      </c>
      <c r="AC475" s="25">
        <f t="shared" ref="AC475:AC521" si="27">VLOOKUP(X475,T:V,3,0)</f>
        <v>1544</v>
      </c>
      <c r="AD475" s="31">
        <f t="shared" si="24"/>
        <v>0.23963730569948186</v>
      </c>
      <c r="AE475" s="32">
        <f t="shared" si="25"/>
        <v>0.11981865284974093</v>
      </c>
    </row>
    <row r="476" spans="13:31" x14ac:dyDescent="0.25">
      <c r="M476" s="23">
        <v>45001</v>
      </c>
      <c r="N476" s="12">
        <v>181</v>
      </c>
      <c r="X476" s="26">
        <f t="shared" ref="X476:X521" si="28">MONTH(Z476)</f>
        <v>3</v>
      </c>
      <c r="Y476" s="25">
        <f t="shared" ref="Y476:Y521" si="29">_xlfn.ISOWEEKNUM(Z476)</f>
        <v>11</v>
      </c>
      <c r="Z476" s="30">
        <v>45001</v>
      </c>
      <c r="AA476" s="25">
        <v>181</v>
      </c>
      <c r="AB476" s="25">
        <f t="shared" si="26"/>
        <v>772</v>
      </c>
      <c r="AC476" s="25">
        <f t="shared" si="27"/>
        <v>1544</v>
      </c>
      <c r="AD476" s="31">
        <f t="shared" ref="AD476:AD521" si="30">AA476/AB476</f>
        <v>0.2344559585492228</v>
      </c>
      <c r="AE476" s="32">
        <f t="shared" ref="AE476:AE521" si="31">AA476/AC476</f>
        <v>0.1172279792746114</v>
      </c>
    </row>
    <row r="477" spans="13:31" x14ac:dyDescent="0.25">
      <c r="M477" s="23">
        <v>45002</v>
      </c>
      <c r="N477" s="12">
        <v>172</v>
      </c>
      <c r="X477" s="26">
        <f t="shared" si="28"/>
        <v>3</v>
      </c>
      <c r="Y477" s="25">
        <f t="shared" si="29"/>
        <v>11</v>
      </c>
      <c r="Z477" s="30">
        <v>45002</v>
      </c>
      <c r="AA477" s="25">
        <v>172</v>
      </c>
      <c r="AB477" s="25">
        <f t="shared" si="26"/>
        <v>772</v>
      </c>
      <c r="AC477" s="25">
        <f t="shared" si="27"/>
        <v>1544</v>
      </c>
      <c r="AD477" s="31">
        <f t="shared" si="30"/>
        <v>0.22279792746113988</v>
      </c>
      <c r="AE477" s="32">
        <f t="shared" si="31"/>
        <v>0.11139896373056994</v>
      </c>
    </row>
    <row r="478" spans="13:31" x14ac:dyDescent="0.25">
      <c r="M478" s="23">
        <v>45003</v>
      </c>
      <c r="N478" s="12">
        <v>187</v>
      </c>
      <c r="X478" s="26">
        <f t="shared" si="28"/>
        <v>3</v>
      </c>
      <c r="Y478" s="25">
        <f t="shared" si="29"/>
        <v>11</v>
      </c>
      <c r="Z478" s="30">
        <v>45003</v>
      </c>
      <c r="AA478" s="25">
        <v>187</v>
      </c>
      <c r="AB478" s="25">
        <f t="shared" si="26"/>
        <v>772</v>
      </c>
      <c r="AC478" s="25">
        <f t="shared" si="27"/>
        <v>1544</v>
      </c>
      <c r="AD478" s="31">
        <f t="shared" si="30"/>
        <v>0.2422279792746114</v>
      </c>
      <c r="AE478" s="32">
        <f t="shared" si="31"/>
        <v>0.1211139896373057</v>
      </c>
    </row>
    <row r="479" spans="13:31" x14ac:dyDescent="0.25">
      <c r="M479" s="23">
        <v>45004</v>
      </c>
      <c r="N479" s="12">
        <v>218</v>
      </c>
      <c r="X479" s="26">
        <f t="shared" si="28"/>
        <v>3</v>
      </c>
      <c r="Y479" s="25">
        <f t="shared" si="29"/>
        <v>11</v>
      </c>
      <c r="Z479" s="30">
        <v>45004</v>
      </c>
      <c r="AA479" s="25">
        <v>218</v>
      </c>
      <c r="AB479" s="25">
        <f t="shared" si="26"/>
        <v>772</v>
      </c>
      <c r="AC479" s="25">
        <f t="shared" si="27"/>
        <v>1544</v>
      </c>
      <c r="AD479" s="31">
        <f t="shared" si="30"/>
        <v>0.28238341968911918</v>
      </c>
      <c r="AE479" s="32">
        <f t="shared" si="31"/>
        <v>0.14119170984455959</v>
      </c>
    </row>
    <row r="480" spans="13:31" x14ac:dyDescent="0.25">
      <c r="M480" s="23">
        <v>45005</v>
      </c>
      <c r="N480" s="12">
        <v>184</v>
      </c>
      <c r="X480" s="26">
        <f t="shared" si="28"/>
        <v>3</v>
      </c>
      <c r="Y480" s="25">
        <f t="shared" si="29"/>
        <v>12</v>
      </c>
      <c r="Z480" s="30">
        <v>45005</v>
      </c>
      <c r="AA480" s="25">
        <v>184</v>
      </c>
      <c r="AB480" s="25">
        <f t="shared" si="26"/>
        <v>656</v>
      </c>
      <c r="AC480" s="25">
        <f t="shared" si="27"/>
        <v>1544</v>
      </c>
      <c r="AD480" s="31">
        <f t="shared" si="30"/>
        <v>0.28048780487804881</v>
      </c>
      <c r="AE480" s="32">
        <f t="shared" si="31"/>
        <v>0.11917098445595854</v>
      </c>
    </row>
    <row r="481" spans="13:31" x14ac:dyDescent="0.25">
      <c r="M481" s="23">
        <v>45006</v>
      </c>
      <c r="N481" s="12">
        <v>194</v>
      </c>
      <c r="X481" s="26">
        <f t="shared" si="28"/>
        <v>3</v>
      </c>
      <c r="Y481" s="25">
        <f t="shared" si="29"/>
        <v>12</v>
      </c>
      <c r="Z481" s="30">
        <v>45006</v>
      </c>
      <c r="AA481" s="25">
        <v>194</v>
      </c>
      <c r="AB481" s="25">
        <f t="shared" si="26"/>
        <v>656</v>
      </c>
      <c r="AC481" s="25">
        <f t="shared" si="27"/>
        <v>1544</v>
      </c>
      <c r="AD481" s="31">
        <f t="shared" si="30"/>
        <v>0.29573170731707316</v>
      </c>
      <c r="AE481" s="32">
        <f t="shared" si="31"/>
        <v>0.12564766839378239</v>
      </c>
    </row>
    <row r="482" spans="13:31" x14ac:dyDescent="0.25">
      <c r="M482" s="23">
        <v>45007</v>
      </c>
      <c r="N482" s="12">
        <v>131</v>
      </c>
      <c r="X482" s="26">
        <f t="shared" si="28"/>
        <v>3</v>
      </c>
      <c r="Y482" s="25">
        <f t="shared" si="29"/>
        <v>12</v>
      </c>
      <c r="Z482" s="30">
        <v>45007</v>
      </c>
      <c r="AA482" s="25">
        <v>131</v>
      </c>
      <c r="AB482" s="25">
        <f t="shared" si="26"/>
        <v>656</v>
      </c>
      <c r="AC482" s="25">
        <f t="shared" si="27"/>
        <v>1544</v>
      </c>
      <c r="AD482" s="31">
        <f t="shared" si="30"/>
        <v>0.19969512195121952</v>
      </c>
      <c r="AE482" s="32">
        <f t="shared" si="31"/>
        <v>8.4844559585492224E-2</v>
      </c>
    </row>
    <row r="483" spans="13:31" x14ac:dyDescent="0.25">
      <c r="M483" s="23">
        <v>45008</v>
      </c>
      <c r="N483" s="12">
        <v>176</v>
      </c>
      <c r="X483" s="26">
        <f t="shared" si="28"/>
        <v>3</v>
      </c>
      <c r="Y483" s="25">
        <f t="shared" si="29"/>
        <v>12</v>
      </c>
      <c r="Z483" s="30">
        <v>45008</v>
      </c>
      <c r="AA483" s="25">
        <v>176</v>
      </c>
      <c r="AB483" s="25">
        <f t="shared" si="26"/>
        <v>656</v>
      </c>
      <c r="AC483" s="25">
        <f t="shared" si="27"/>
        <v>1544</v>
      </c>
      <c r="AD483" s="31">
        <f t="shared" si="30"/>
        <v>0.26829268292682928</v>
      </c>
      <c r="AE483" s="32">
        <f t="shared" si="31"/>
        <v>0.11398963730569948</v>
      </c>
    </row>
    <row r="484" spans="13:31" x14ac:dyDescent="0.25">
      <c r="M484" s="23">
        <v>45009</v>
      </c>
      <c r="N484" s="12">
        <v>136</v>
      </c>
      <c r="X484" s="26">
        <f t="shared" si="28"/>
        <v>3</v>
      </c>
      <c r="Y484" s="25">
        <f t="shared" si="29"/>
        <v>12</v>
      </c>
      <c r="Z484" s="30">
        <v>45009</v>
      </c>
      <c r="AA484" s="25">
        <v>136</v>
      </c>
      <c r="AB484" s="25">
        <f t="shared" si="26"/>
        <v>656</v>
      </c>
      <c r="AC484" s="25">
        <f t="shared" si="27"/>
        <v>1544</v>
      </c>
      <c r="AD484" s="31">
        <f t="shared" si="30"/>
        <v>0.2073170731707317</v>
      </c>
      <c r="AE484" s="32">
        <f t="shared" si="31"/>
        <v>8.8082901554404139E-2</v>
      </c>
    </row>
    <row r="485" spans="13:31" x14ac:dyDescent="0.25">
      <c r="M485" s="23">
        <v>45010</v>
      </c>
      <c r="N485" s="12">
        <v>153</v>
      </c>
      <c r="X485" s="26">
        <f t="shared" si="28"/>
        <v>3</v>
      </c>
      <c r="Y485" s="25">
        <f t="shared" si="29"/>
        <v>12</v>
      </c>
      <c r="Z485" s="30">
        <v>45010</v>
      </c>
      <c r="AA485" s="25">
        <v>153</v>
      </c>
      <c r="AB485" s="25">
        <f t="shared" si="26"/>
        <v>656</v>
      </c>
      <c r="AC485" s="25">
        <f t="shared" si="27"/>
        <v>1544</v>
      </c>
      <c r="AD485" s="31">
        <f t="shared" si="30"/>
        <v>0.23323170731707318</v>
      </c>
      <c r="AE485" s="32">
        <f t="shared" si="31"/>
        <v>9.9093264248704668E-2</v>
      </c>
    </row>
    <row r="486" spans="13:31" x14ac:dyDescent="0.25">
      <c r="M486" s="23">
        <v>45011</v>
      </c>
      <c r="N486" s="12">
        <v>159</v>
      </c>
      <c r="X486" s="26">
        <f t="shared" si="28"/>
        <v>3</v>
      </c>
      <c r="Y486" s="25">
        <f t="shared" si="29"/>
        <v>12</v>
      </c>
      <c r="Z486" s="30">
        <v>45011</v>
      </c>
      <c r="AA486" s="25">
        <v>159</v>
      </c>
      <c r="AB486" s="25">
        <f t="shared" si="26"/>
        <v>656</v>
      </c>
      <c r="AC486" s="25">
        <f t="shared" si="27"/>
        <v>1544</v>
      </c>
      <c r="AD486" s="31">
        <f t="shared" si="30"/>
        <v>0.2423780487804878</v>
      </c>
      <c r="AE486" s="32">
        <f t="shared" si="31"/>
        <v>0.10297927461139897</v>
      </c>
    </row>
    <row r="487" spans="13:31" x14ac:dyDescent="0.25">
      <c r="M487" s="23">
        <v>45012</v>
      </c>
      <c r="N487" s="12">
        <v>143</v>
      </c>
      <c r="X487" s="26">
        <f t="shared" si="28"/>
        <v>3</v>
      </c>
      <c r="Y487" s="25">
        <f t="shared" si="29"/>
        <v>13</v>
      </c>
      <c r="Z487" s="30">
        <v>45012</v>
      </c>
      <c r="AA487" s="25">
        <v>143</v>
      </c>
      <c r="AB487" s="25">
        <f t="shared" si="26"/>
        <v>661</v>
      </c>
      <c r="AC487" s="25">
        <f t="shared" si="27"/>
        <v>1544</v>
      </c>
      <c r="AD487" s="31">
        <f t="shared" si="30"/>
        <v>0.21633888048411498</v>
      </c>
      <c r="AE487" s="32">
        <f t="shared" si="31"/>
        <v>9.2616580310880825E-2</v>
      </c>
    </row>
    <row r="488" spans="13:31" x14ac:dyDescent="0.25">
      <c r="M488" s="23">
        <v>45013</v>
      </c>
      <c r="N488" s="12">
        <v>156</v>
      </c>
      <c r="X488" s="26">
        <f t="shared" si="28"/>
        <v>3</v>
      </c>
      <c r="Y488" s="25">
        <f t="shared" si="29"/>
        <v>13</v>
      </c>
      <c r="Z488" s="30">
        <v>45013</v>
      </c>
      <c r="AA488" s="25">
        <v>156</v>
      </c>
      <c r="AB488" s="25">
        <f t="shared" si="26"/>
        <v>661</v>
      </c>
      <c r="AC488" s="25">
        <f t="shared" si="27"/>
        <v>1544</v>
      </c>
      <c r="AD488" s="31">
        <f t="shared" si="30"/>
        <v>0.23600605143721634</v>
      </c>
      <c r="AE488" s="32">
        <f t="shared" si="31"/>
        <v>0.10103626943005181</v>
      </c>
    </row>
    <row r="489" spans="13:31" x14ac:dyDescent="0.25">
      <c r="M489" s="23">
        <v>45014</v>
      </c>
      <c r="N489" s="12">
        <v>151</v>
      </c>
      <c r="X489" s="26">
        <f t="shared" si="28"/>
        <v>3</v>
      </c>
      <c r="Y489" s="25">
        <f t="shared" si="29"/>
        <v>13</v>
      </c>
      <c r="Z489" s="30">
        <v>45014</v>
      </c>
      <c r="AA489" s="25">
        <v>151</v>
      </c>
      <c r="AB489" s="25">
        <f t="shared" si="26"/>
        <v>661</v>
      </c>
      <c r="AC489" s="25">
        <f t="shared" si="27"/>
        <v>1544</v>
      </c>
      <c r="AD489" s="31">
        <f t="shared" si="30"/>
        <v>0.22844175491679275</v>
      </c>
      <c r="AE489" s="32">
        <f t="shared" si="31"/>
        <v>9.7797927461139897E-2</v>
      </c>
    </row>
    <row r="490" spans="13:31" x14ac:dyDescent="0.25">
      <c r="M490" s="23">
        <v>45015</v>
      </c>
      <c r="N490" s="12">
        <v>148</v>
      </c>
      <c r="X490" s="26">
        <f t="shared" si="28"/>
        <v>3</v>
      </c>
      <c r="Y490" s="25">
        <f t="shared" si="29"/>
        <v>13</v>
      </c>
      <c r="Z490" s="30">
        <v>45015</v>
      </c>
      <c r="AA490" s="25">
        <v>148</v>
      </c>
      <c r="AB490" s="25">
        <f t="shared" si="26"/>
        <v>661</v>
      </c>
      <c r="AC490" s="25">
        <f t="shared" si="27"/>
        <v>1544</v>
      </c>
      <c r="AD490" s="31">
        <f t="shared" si="30"/>
        <v>0.22390317700453857</v>
      </c>
      <c r="AE490" s="32">
        <f t="shared" si="31"/>
        <v>9.585492227979274E-2</v>
      </c>
    </row>
    <row r="491" spans="13:31" x14ac:dyDescent="0.25">
      <c r="M491" s="23">
        <v>45016</v>
      </c>
      <c r="N491" s="12">
        <v>184</v>
      </c>
      <c r="X491" s="26">
        <f t="shared" si="28"/>
        <v>3</v>
      </c>
      <c r="Y491" s="25">
        <f t="shared" si="29"/>
        <v>13</v>
      </c>
      <c r="Z491" s="30">
        <v>45016</v>
      </c>
      <c r="AA491" s="25">
        <v>184</v>
      </c>
      <c r="AB491" s="25">
        <f t="shared" si="26"/>
        <v>661</v>
      </c>
      <c r="AC491" s="25">
        <f t="shared" si="27"/>
        <v>1544</v>
      </c>
      <c r="AD491" s="31">
        <f t="shared" si="30"/>
        <v>0.2783661119515885</v>
      </c>
      <c r="AE491" s="32">
        <f t="shared" si="31"/>
        <v>0.11917098445595854</v>
      </c>
    </row>
    <row r="492" spans="13:31" x14ac:dyDescent="0.25">
      <c r="M492" s="23">
        <v>45017</v>
      </c>
      <c r="N492" s="12">
        <v>204</v>
      </c>
      <c r="X492" s="26">
        <f t="shared" si="28"/>
        <v>4</v>
      </c>
      <c r="Y492" s="25">
        <f t="shared" si="29"/>
        <v>13</v>
      </c>
      <c r="Z492" s="30">
        <v>45017</v>
      </c>
      <c r="AA492" s="25">
        <v>204</v>
      </c>
      <c r="AB492" s="25">
        <f t="shared" si="26"/>
        <v>661</v>
      </c>
      <c r="AC492" s="25">
        <f t="shared" si="27"/>
        <v>1027</v>
      </c>
      <c r="AD492" s="31">
        <f t="shared" si="30"/>
        <v>0.30862329803328292</v>
      </c>
      <c r="AE492" s="32">
        <f t="shared" si="31"/>
        <v>0.19863680623174293</v>
      </c>
    </row>
    <row r="493" spans="13:31" x14ac:dyDescent="0.25">
      <c r="M493" s="23">
        <v>45018</v>
      </c>
      <c r="N493" s="12">
        <v>215</v>
      </c>
      <c r="X493" s="26">
        <f t="shared" si="28"/>
        <v>4</v>
      </c>
      <c r="Y493" s="25">
        <f t="shared" si="29"/>
        <v>13</v>
      </c>
      <c r="Z493" s="30">
        <v>45018</v>
      </c>
      <c r="AA493" s="25">
        <v>215</v>
      </c>
      <c r="AB493" s="25">
        <f t="shared" si="26"/>
        <v>661</v>
      </c>
      <c r="AC493" s="25">
        <f t="shared" si="27"/>
        <v>1027</v>
      </c>
      <c r="AD493" s="31">
        <f t="shared" si="30"/>
        <v>0.32526475037821484</v>
      </c>
      <c r="AE493" s="32">
        <f t="shared" si="31"/>
        <v>0.20934761441090555</v>
      </c>
    </row>
    <row r="494" spans="13:31" x14ac:dyDescent="0.25">
      <c r="M494" s="23">
        <v>45019</v>
      </c>
      <c r="N494" s="12">
        <v>198</v>
      </c>
      <c r="X494" s="26">
        <f t="shared" si="28"/>
        <v>4</v>
      </c>
      <c r="Y494" s="25">
        <f t="shared" si="29"/>
        <v>14</v>
      </c>
      <c r="Z494" s="30">
        <v>45019</v>
      </c>
      <c r="AA494" s="25">
        <v>198</v>
      </c>
      <c r="AB494" s="25">
        <f t="shared" si="26"/>
        <v>699</v>
      </c>
      <c r="AC494" s="25">
        <f t="shared" si="27"/>
        <v>1027</v>
      </c>
      <c r="AD494" s="31">
        <f t="shared" si="30"/>
        <v>0.2832618025751073</v>
      </c>
      <c r="AE494" s="32">
        <f t="shared" si="31"/>
        <v>0.19279454722492698</v>
      </c>
    </row>
    <row r="495" spans="13:31" x14ac:dyDescent="0.25">
      <c r="M495" s="23">
        <v>45020</v>
      </c>
      <c r="N495" s="12">
        <v>199</v>
      </c>
      <c r="X495" s="26">
        <f t="shared" si="28"/>
        <v>4</v>
      </c>
      <c r="Y495" s="25">
        <f t="shared" si="29"/>
        <v>14</v>
      </c>
      <c r="Z495" s="30">
        <v>45020</v>
      </c>
      <c r="AA495" s="25">
        <v>199</v>
      </c>
      <c r="AB495" s="25">
        <f t="shared" si="26"/>
        <v>699</v>
      </c>
      <c r="AC495" s="25">
        <f t="shared" si="27"/>
        <v>1027</v>
      </c>
      <c r="AD495" s="31">
        <f t="shared" si="30"/>
        <v>0.28469241773962806</v>
      </c>
      <c r="AE495" s="32">
        <f t="shared" si="31"/>
        <v>0.19376825705939629</v>
      </c>
    </row>
    <row r="496" spans="13:31" x14ac:dyDescent="0.25">
      <c r="M496" s="23">
        <v>45021</v>
      </c>
      <c r="N496" s="12">
        <v>188</v>
      </c>
      <c r="X496" s="26">
        <f t="shared" si="28"/>
        <v>4</v>
      </c>
      <c r="Y496" s="25">
        <f t="shared" si="29"/>
        <v>14</v>
      </c>
      <c r="Z496" s="30">
        <v>45021</v>
      </c>
      <c r="AA496" s="25">
        <v>188</v>
      </c>
      <c r="AB496" s="25">
        <f t="shared" si="26"/>
        <v>699</v>
      </c>
      <c r="AC496" s="25">
        <f t="shared" si="27"/>
        <v>1027</v>
      </c>
      <c r="AD496" s="31">
        <f t="shared" si="30"/>
        <v>0.26895565092989987</v>
      </c>
      <c r="AE496" s="32">
        <f t="shared" si="31"/>
        <v>0.1830574488802337</v>
      </c>
    </row>
    <row r="497" spans="13:31" x14ac:dyDescent="0.25">
      <c r="M497" s="23">
        <v>45022</v>
      </c>
      <c r="N497" s="12">
        <v>197</v>
      </c>
      <c r="X497" s="26">
        <f t="shared" si="28"/>
        <v>4</v>
      </c>
      <c r="Y497" s="25">
        <f t="shared" si="29"/>
        <v>14</v>
      </c>
      <c r="Z497" s="30">
        <v>45022</v>
      </c>
      <c r="AA497" s="25">
        <v>197</v>
      </c>
      <c r="AB497" s="25">
        <f t="shared" si="26"/>
        <v>699</v>
      </c>
      <c r="AC497" s="25">
        <f t="shared" si="27"/>
        <v>1027</v>
      </c>
      <c r="AD497" s="31">
        <f t="shared" si="30"/>
        <v>0.28183118741058655</v>
      </c>
      <c r="AE497" s="32">
        <f t="shared" si="31"/>
        <v>0.19182083739045763</v>
      </c>
    </row>
    <row r="498" spans="13:31" x14ac:dyDescent="0.25">
      <c r="M498" s="23">
        <v>45023</v>
      </c>
      <c r="N498" s="12">
        <v>192</v>
      </c>
      <c r="X498" s="26">
        <f t="shared" si="28"/>
        <v>4</v>
      </c>
      <c r="Y498" s="25">
        <f t="shared" si="29"/>
        <v>14</v>
      </c>
      <c r="Z498" s="30">
        <v>45023</v>
      </c>
      <c r="AA498" s="25">
        <v>192</v>
      </c>
      <c r="AB498" s="25">
        <f t="shared" si="26"/>
        <v>699</v>
      </c>
      <c r="AC498" s="25">
        <f t="shared" si="27"/>
        <v>1027</v>
      </c>
      <c r="AD498" s="31">
        <f t="shared" si="30"/>
        <v>0.27467811158798283</v>
      </c>
      <c r="AE498" s="32">
        <f t="shared" si="31"/>
        <v>0.186952288218111</v>
      </c>
    </row>
    <row r="499" spans="13:31" x14ac:dyDescent="0.25">
      <c r="M499" s="23">
        <v>45024</v>
      </c>
      <c r="N499" s="12">
        <v>200</v>
      </c>
      <c r="X499" s="26">
        <f t="shared" si="28"/>
        <v>4</v>
      </c>
      <c r="Y499" s="25">
        <f t="shared" si="29"/>
        <v>14</v>
      </c>
      <c r="Z499" s="30">
        <v>45024</v>
      </c>
      <c r="AA499" s="25">
        <v>200</v>
      </c>
      <c r="AB499" s="25">
        <f t="shared" si="26"/>
        <v>699</v>
      </c>
      <c r="AC499" s="25">
        <f t="shared" si="27"/>
        <v>1027</v>
      </c>
      <c r="AD499" s="31">
        <f t="shared" si="30"/>
        <v>0.28612303290414881</v>
      </c>
      <c r="AE499" s="32">
        <f t="shared" si="31"/>
        <v>0.19474196689386564</v>
      </c>
    </row>
    <row r="500" spans="13:31" x14ac:dyDescent="0.25">
      <c r="M500" s="23">
        <v>45025</v>
      </c>
      <c r="N500" s="12">
        <v>192</v>
      </c>
      <c r="X500" s="26">
        <f t="shared" si="28"/>
        <v>4</v>
      </c>
      <c r="Y500" s="25">
        <f t="shared" si="29"/>
        <v>14</v>
      </c>
      <c r="Z500" s="30">
        <v>45025</v>
      </c>
      <c r="AA500" s="25">
        <v>192</v>
      </c>
      <c r="AB500" s="25">
        <f t="shared" si="26"/>
        <v>699</v>
      </c>
      <c r="AC500" s="25">
        <f t="shared" si="27"/>
        <v>1027</v>
      </c>
      <c r="AD500" s="31">
        <f t="shared" si="30"/>
        <v>0.27467811158798283</v>
      </c>
      <c r="AE500" s="32">
        <f t="shared" si="31"/>
        <v>0.186952288218111</v>
      </c>
    </row>
    <row r="501" spans="13:31" x14ac:dyDescent="0.25">
      <c r="M501" s="23">
        <v>45026</v>
      </c>
      <c r="N501" s="12">
        <v>172</v>
      </c>
      <c r="X501" s="26">
        <f t="shared" si="28"/>
        <v>4</v>
      </c>
      <c r="Y501" s="25">
        <f t="shared" si="29"/>
        <v>15</v>
      </c>
      <c r="Z501" s="30">
        <v>45026</v>
      </c>
      <c r="AA501" s="25">
        <v>172</v>
      </c>
      <c r="AB501" s="25">
        <f t="shared" si="26"/>
        <v>614</v>
      </c>
      <c r="AC501" s="25">
        <f t="shared" si="27"/>
        <v>1027</v>
      </c>
      <c r="AD501" s="31">
        <f t="shared" si="30"/>
        <v>0.28013029315960913</v>
      </c>
      <c r="AE501" s="32">
        <f t="shared" si="31"/>
        <v>0.16747809152872445</v>
      </c>
    </row>
    <row r="502" spans="13:31" x14ac:dyDescent="0.25">
      <c r="M502" s="23">
        <v>45027</v>
      </c>
      <c r="N502" s="12">
        <v>160</v>
      </c>
      <c r="X502" s="26">
        <f t="shared" si="28"/>
        <v>4</v>
      </c>
      <c r="Y502" s="25">
        <f t="shared" si="29"/>
        <v>15</v>
      </c>
      <c r="Z502" s="30">
        <v>45027</v>
      </c>
      <c r="AA502" s="25">
        <v>160</v>
      </c>
      <c r="AB502" s="25">
        <f t="shared" si="26"/>
        <v>614</v>
      </c>
      <c r="AC502" s="25">
        <f t="shared" si="27"/>
        <v>1027</v>
      </c>
      <c r="AD502" s="31">
        <f t="shared" si="30"/>
        <v>0.26058631921824105</v>
      </c>
      <c r="AE502" s="32">
        <f t="shared" si="31"/>
        <v>0.15579357351509251</v>
      </c>
    </row>
    <row r="503" spans="13:31" x14ac:dyDescent="0.25">
      <c r="M503" s="23">
        <v>45028</v>
      </c>
      <c r="N503" s="12">
        <v>168</v>
      </c>
      <c r="X503" s="26">
        <f t="shared" si="28"/>
        <v>4</v>
      </c>
      <c r="Y503" s="25">
        <f t="shared" si="29"/>
        <v>15</v>
      </c>
      <c r="Z503" s="30">
        <v>45028</v>
      </c>
      <c r="AA503" s="25">
        <v>168</v>
      </c>
      <c r="AB503" s="25">
        <f t="shared" si="26"/>
        <v>614</v>
      </c>
      <c r="AC503" s="25">
        <f t="shared" si="27"/>
        <v>1027</v>
      </c>
      <c r="AD503" s="31">
        <f t="shared" si="30"/>
        <v>0.2736156351791531</v>
      </c>
      <c r="AE503" s="32">
        <f t="shared" si="31"/>
        <v>0.16358325219084713</v>
      </c>
    </row>
    <row r="504" spans="13:31" x14ac:dyDescent="0.25">
      <c r="M504" s="23">
        <v>45029</v>
      </c>
      <c r="N504" s="12">
        <v>171</v>
      </c>
      <c r="X504" s="26">
        <f t="shared" si="28"/>
        <v>4</v>
      </c>
      <c r="Y504" s="25">
        <f t="shared" si="29"/>
        <v>15</v>
      </c>
      <c r="Z504" s="30">
        <v>45029</v>
      </c>
      <c r="AA504" s="25">
        <v>171</v>
      </c>
      <c r="AB504" s="25">
        <f t="shared" si="26"/>
        <v>614</v>
      </c>
      <c r="AC504" s="25">
        <f t="shared" si="27"/>
        <v>1027</v>
      </c>
      <c r="AD504" s="31">
        <f t="shared" si="30"/>
        <v>0.27850162866449513</v>
      </c>
      <c r="AE504" s="32">
        <f t="shared" si="31"/>
        <v>0.1665043816942551</v>
      </c>
    </row>
    <row r="505" spans="13:31" x14ac:dyDescent="0.25">
      <c r="M505" s="23">
        <v>45030</v>
      </c>
      <c r="N505" s="12">
        <v>154</v>
      </c>
      <c r="X505" s="26">
        <f t="shared" si="28"/>
        <v>4</v>
      </c>
      <c r="Y505" s="25">
        <f t="shared" si="29"/>
        <v>15</v>
      </c>
      <c r="Z505" s="30">
        <v>45030</v>
      </c>
      <c r="AA505" s="25">
        <v>154</v>
      </c>
      <c r="AB505" s="25">
        <f t="shared" si="26"/>
        <v>614</v>
      </c>
      <c r="AC505" s="25">
        <f t="shared" si="27"/>
        <v>1027</v>
      </c>
      <c r="AD505" s="31">
        <f t="shared" si="30"/>
        <v>0.250814332247557</v>
      </c>
      <c r="AE505" s="32">
        <f t="shared" si="31"/>
        <v>0.14995131450827653</v>
      </c>
    </row>
    <row r="506" spans="13:31" x14ac:dyDescent="0.25">
      <c r="M506" s="23">
        <v>45031</v>
      </c>
      <c r="N506" s="12">
        <v>146</v>
      </c>
      <c r="X506" s="26">
        <f t="shared" si="28"/>
        <v>4</v>
      </c>
      <c r="Y506" s="25">
        <f t="shared" si="29"/>
        <v>15</v>
      </c>
      <c r="Z506" s="30">
        <v>45031</v>
      </c>
      <c r="AA506" s="25">
        <v>146</v>
      </c>
      <c r="AB506" s="25">
        <f t="shared" si="26"/>
        <v>614</v>
      </c>
      <c r="AC506" s="25">
        <f t="shared" si="27"/>
        <v>1027</v>
      </c>
      <c r="AD506" s="31">
        <f t="shared" si="30"/>
        <v>0.23778501628664495</v>
      </c>
      <c r="AE506" s="32">
        <f t="shared" si="31"/>
        <v>0.14216163583252192</v>
      </c>
    </row>
    <row r="507" spans="13:31" x14ac:dyDescent="0.25">
      <c r="M507" s="23">
        <v>45032</v>
      </c>
      <c r="N507" s="12">
        <v>166</v>
      </c>
      <c r="X507" s="26">
        <f t="shared" si="28"/>
        <v>4</v>
      </c>
      <c r="Y507" s="25">
        <f t="shared" si="29"/>
        <v>15</v>
      </c>
      <c r="Z507" s="30">
        <v>45032</v>
      </c>
      <c r="AA507" s="25">
        <v>166</v>
      </c>
      <c r="AB507" s="25">
        <f t="shared" si="26"/>
        <v>614</v>
      </c>
      <c r="AC507" s="25">
        <f t="shared" si="27"/>
        <v>1027</v>
      </c>
      <c r="AD507" s="31">
        <f t="shared" si="30"/>
        <v>0.27035830618892509</v>
      </c>
      <c r="AE507" s="32">
        <f t="shared" si="31"/>
        <v>0.16163583252190847</v>
      </c>
    </row>
    <row r="508" spans="13:31" x14ac:dyDescent="0.25">
      <c r="M508" s="23">
        <v>45033</v>
      </c>
      <c r="N508" s="12">
        <v>134</v>
      </c>
      <c r="X508" s="26">
        <f t="shared" si="28"/>
        <v>4</v>
      </c>
      <c r="Y508" s="25">
        <f t="shared" si="29"/>
        <v>16</v>
      </c>
      <c r="Z508" s="30">
        <v>45033</v>
      </c>
      <c r="AA508" s="25">
        <v>134</v>
      </c>
      <c r="AB508" s="25">
        <f t="shared" si="26"/>
        <v>545</v>
      </c>
      <c r="AC508" s="25">
        <f t="shared" si="27"/>
        <v>1027</v>
      </c>
      <c r="AD508" s="31">
        <f t="shared" si="30"/>
        <v>0.24587155963302754</v>
      </c>
      <c r="AE508" s="32">
        <f t="shared" si="31"/>
        <v>0.13047711781888996</v>
      </c>
    </row>
    <row r="509" spans="13:31" x14ac:dyDescent="0.25">
      <c r="M509" s="23">
        <v>45034</v>
      </c>
      <c r="N509" s="12">
        <v>149</v>
      </c>
      <c r="X509" s="26">
        <f t="shared" si="28"/>
        <v>4</v>
      </c>
      <c r="Y509" s="25">
        <f t="shared" si="29"/>
        <v>16</v>
      </c>
      <c r="Z509" s="30">
        <v>45034</v>
      </c>
      <c r="AA509" s="25">
        <v>149</v>
      </c>
      <c r="AB509" s="25">
        <f t="shared" si="26"/>
        <v>545</v>
      </c>
      <c r="AC509" s="25">
        <f t="shared" si="27"/>
        <v>1027</v>
      </c>
      <c r="AD509" s="31">
        <f t="shared" si="30"/>
        <v>0.27339449541284405</v>
      </c>
      <c r="AE509" s="32">
        <f t="shared" si="31"/>
        <v>0.1450827653359299</v>
      </c>
    </row>
    <row r="510" spans="13:31" x14ac:dyDescent="0.25">
      <c r="M510" s="23">
        <v>45035</v>
      </c>
      <c r="N510" s="12">
        <v>132</v>
      </c>
      <c r="X510" s="26">
        <f t="shared" si="28"/>
        <v>4</v>
      </c>
      <c r="Y510" s="25">
        <f t="shared" si="29"/>
        <v>16</v>
      </c>
      <c r="Z510" s="30">
        <v>45035</v>
      </c>
      <c r="AA510" s="25">
        <v>132</v>
      </c>
      <c r="AB510" s="25">
        <f t="shared" si="26"/>
        <v>545</v>
      </c>
      <c r="AC510" s="25">
        <f t="shared" si="27"/>
        <v>1027</v>
      </c>
      <c r="AD510" s="31">
        <f t="shared" si="30"/>
        <v>0.24220183486238533</v>
      </c>
      <c r="AE510" s="32">
        <f t="shared" si="31"/>
        <v>0.12852969814995133</v>
      </c>
    </row>
    <row r="511" spans="13:31" x14ac:dyDescent="0.25">
      <c r="M511" s="23">
        <v>45036</v>
      </c>
      <c r="N511" s="12">
        <v>131</v>
      </c>
      <c r="X511" s="26">
        <f t="shared" si="28"/>
        <v>4</v>
      </c>
      <c r="Y511" s="25">
        <f t="shared" si="29"/>
        <v>16</v>
      </c>
      <c r="Z511" s="30">
        <v>45036</v>
      </c>
      <c r="AA511" s="25">
        <v>131</v>
      </c>
      <c r="AB511" s="25">
        <f t="shared" si="26"/>
        <v>545</v>
      </c>
      <c r="AC511" s="25">
        <f t="shared" si="27"/>
        <v>1027</v>
      </c>
      <c r="AD511" s="31">
        <f t="shared" si="30"/>
        <v>0.24036697247706423</v>
      </c>
      <c r="AE511" s="32">
        <f t="shared" si="31"/>
        <v>0.12755598831548198</v>
      </c>
    </row>
    <row r="512" spans="13:31" x14ac:dyDescent="0.25">
      <c r="M512" s="23">
        <v>45037</v>
      </c>
      <c r="N512" s="12">
        <v>104</v>
      </c>
      <c r="X512" s="26">
        <f t="shared" si="28"/>
        <v>4</v>
      </c>
      <c r="Y512" s="25">
        <f t="shared" si="29"/>
        <v>16</v>
      </c>
      <c r="Z512" s="30">
        <v>45037</v>
      </c>
      <c r="AA512" s="25">
        <v>104</v>
      </c>
      <c r="AB512" s="25">
        <f t="shared" si="26"/>
        <v>545</v>
      </c>
      <c r="AC512" s="25">
        <f t="shared" si="27"/>
        <v>1027</v>
      </c>
      <c r="AD512" s="31">
        <f t="shared" si="30"/>
        <v>0.19082568807339451</v>
      </c>
      <c r="AE512" s="32">
        <f t="shared" si="31"/>
        <v>0.10126582278481013</v>
      </c>
    </row>
    <row r="513" spans="13:31" x14ac:dyDescent="0.25">
      <c r="M513" s="23">
        <v>45038</v>
      </c>
      <c r="N513" s="12">
        <v>105</v>
      </c>
      <c r="X513" s="26">
        <f t="shared" si="28"/>
        <v>4</v>
      </c>
      <c r="Y513" s="25">
        <f t="shared" si="29"/>
        <v>16</v>
      </c>
      <c r="Z513" s="30">
        <v>45038</v>
      </c>
      <c r="AA513" s="25">
        <v>105</v>
      </c>
      <c r="AB513" s="25">
        <f t="shared" si="26"/>
        <v>545</v>
      </c>
      <c r="AC513" s="25">
        <f t="shared" si="27"/>
        <v>1027</v>
      </c>
      <c r="AD513" s="31">
        <f t="shared" si="30"/>
        <v>0.19266055045871561</v>
      </c>
      <c r="AE513" s="32">
        <f t="shared" si="31"/>
        <v>0.10223953261927946</v>
      </c>
    </row>
    <row r="514" spans="13:31" x14ac:dyDescent="0.25">
      <c r="M514" s="23">
        <v>45039</v>
      </c>
      <c r="N514" s="12">
        <v>105</v>
      </c>
      <c r="X514" s="26">
        <f t="shared" si="28"/>
        <v>4</v>
      </c>
      <c r="Y514" s="25">
        <f t="shared" si="29"/>
        <v>16</v>
      </c>
      <c r="Z514" s="30">
        <v>45039</v>
      </c>
      <c r="AA514" s="25">
        <v>105</v>
      </c>
      <c r="AB514" s="25">
        <f t="shared" si="26"/>
        <v>545</v>
      </c>
      <c r="AC514" s="25">
        <f t="shared" si="27"/>
        <v>1027</v>
      </c>
      <c r="AD514" s="31">
        <f t="shared" si="30"/>
        <v>0.19266055045871561</v>
      </c>
      <c r="AE514" s="32">
        <f t="shared" si="31"/>
        <v>0.10223953261927946</v>
      </c>
    </row>
    <row r="515" spans="13:31" x14ac:dyDescent="0.25">
      <c r="M515" s="23">
        <v>45040</v>
      </c>
      <c r="N515" s="12">
        <v>90</v>
      </c>
      <c r="X515" s="26">
        <f t="shared" si="28"/>
        <v>4</v>
      </c>
      <c r="Y515" s="25">
        <f t="shared" si="29"/>
        <v>17</v>
      </c>
      <c r="Z515" s="30">
        <v>45040</v>
      </c>
      <c r="AA515" s="25">
        <v>90</v>
      </c>
      <c r="AB515" s="25">
        <f t="shared" si="26"/>
        <v>422</v>
      </c>
      <c r="AC515" s="25">
        <f t="shared" si="27"/>
        <v>1027</v>
      </c>
      <c r="AD515" s="31">
        <f t="shared" si="30"/>
        <v>0.2132701421800948</v>
      </c>
      <c r="AE515" s="32">
        <f t="shared" si="31"/>
        <v>8.7633885102239531E-2</v>
      </c>
    </row>
    <row r="516" spans="13:31" x14ac:dyDescent="0.25">
      <c r="M516" s="23">
        <v>45041</v>
      </c>
      <c r="N516" s="12">
        <v>101</v>
      </c>
      <c r="X516" s="26">
        <f t="shared" si="28"/>
        <v>4</v>
      </c>
      <c r="Y516" s="25">
        <f t="shared" si="29"/>
        <v>17</v>
      </c>
      <c r="Z516" s="30">
        <v>45041</v>
      </c>
      <c r="AA516" s="25">
        <v>101</v>
      </c>
      <c r="AB516" s="25">
        <f t="shared" si="26"/>
        <v>422</v>
      </c>
      <c r="AC516" s="25">
        <f t="shared" si="27"/>
        <v>1027</v>
      </c>
      <c r="AD516" s="31">
        <f t="shared" si="30"/>
        <v>0.23933649289099526</v>
      </c>
      <c r="AE516" s="32">
        <f t="shared" si="31"/>
        <v>9.8344693281402148E-2</v>
      </c>
    </row>
    <row r="517" spans="13:31" x14ac:dyDescent="0.25">
      <c r="M517" s="23">
        <v>45042</v>
      </c>
      <c r="N517" s="12">
        <v>92</v>
      </c>
      <c r="X517" s="26">
        <f t="shared" si="28"/>
        <v>4</v>
      </c>
      <c r="Y517" s="25">
        <f t="shared" si="29"/>
        <v>17</v>
      </c>
      <c r="Z517" s="30">
        <v>45042</v>
      </c>
      <c r="AA517" s="25">
        <v>92</v>
      </c>
      <c r="AB517" s="25">
        <f t="shared" si="26"/>
        <v>422</v>
      </c>
      <c r="AC517" s="25">
        <f t="shared" si="27"/>
        <v>1027</v>
      </c>
      <c r="AD517" s="31">
        <f t="shared" si="30"/>
        <v>0.21800947867298578</v>
      </c>
      <c r="AE517" s="32">
        <f t="shared" si="31"/>
        <v>8.9581304771178191E-2</v>
      </c>
    </row>
    <row r="518" spans="13:31" x14ac:dyDescent="0.25">
      <c r="M518" s="23">
        <v>45043</v>
      </c>
      <c r="N518" s="12">
        <v>68</v>
      </c>
      <c r="X518" s="26">
        <f t="shared" si="28"/>
        <v>4</v>
      </c>
      <c r="Y518" s="25">
        <f t="shared" si="29"/>
        <v>17</v>
      </c>
      <c r="Z518" s="30">
        <v>45043</v>
      </c>
      <c r="AA518" s="25">
        <v>68</v>
      </c>
      <c r="AB518" s="25">
        <f t="shared" si="26"/>
        <v>422</v>
      </c>
      <c r="AC518" s="25">
        <f t="shared" si="27"/>
        <v>1027</v>
      </c>
      <c r="AD518" s="31">
        <f t="shared" si="30"/>
        <v>0.16113744075829384</v>
      </c>
      <c r="AE518" s="32">
        <f t="shared" si="31"/>
        <v>6.621226874391431E-2</v>
      </c>
    </row>
    <row r="519" spans="13:31" x14ac:dyDescent="0.25">
      <c r="M519" s="23">
        <v>45044</v>
      </c>
      <c r="N519" s="12">
        <v>75</v>
      </c>
      <c r="X519" s="26">
        <f t="shared" si="28"/>
        <v>4</v>
      </c>
      <c r="Y519" s="25">
        <f t="shared" si="29"/>
        <v>17</v>
      </c>
      <c r="Z519" s="30">
        <v>45044</v>
      </c>
      <c r="AA519" s="25">
        <v>75</v>
      </c>
      <c r="AB519" s="25">
        <f t="shared" si="26"/>
        <v>422</v>
      </c>
      <c r="AC519" s="25">
        <f t="shared" si="27"/>
        <v>1027</v>
      </c>
      <c r="AD519" s="31">
        <f t="shared" si="30"/>
        <v>0.17772511848341233</v>
      </c>
      <c r="AE519" s="32">
        <f t="shared" si="31"/>
        <v>7.3028237585199607E-2</v>
      </c>
    </row>
    <row r="520" spans="13:31" x14ac:dyDescent="0.25">
      <c r="M520" s="23">
        <v>45045</v>
      </c>
      <c r="N520" s="12">
        <v>73</v>
      </c>
      <c r="X520" s="26">
        <f t="shared" si="28"/>
        <v>4</v>
      </c>
      <c r="Y520" s="25">
        <f t="shared" si="29"/>
        <v>17</v>
      </c>
      <c r="Z520" s="30">
        <v>45045</v>
      </c>
      <c r="AA520" s="25">
        <v>73</v>
      </c>
      <c r="AB520" s="25">
        <f t="shared" si="26"/>
        <v>422</v>
      </c>
      <c r="AC520" s="25">
        <f t="shared" si="27"/>
        <v>1027</v>
      </c>
      <c r="AD520" s="31">
        <f t="shared" si="30"/>
        <v>0.17298578199052134</v>
      </c>
      <c r="AE520" s="32">
        <f t="shared" si="31"/>
        <v>7.108081791626096E-2</v>
      </c>
    </row>
    <row r="521" spans="13:31" x14ac:dyDescent="0.25">
      <c r="M521" s="24">
        <v>45046</v>
      </c>
      <c r="N521" s="14">
        <v>71</v>
      </c>
      <c r="X521" s="28">
        <f t="shared" si="28"/>
        <v>4</v>
      </c>
      <c r="Y521" s="17">
        <f t="shared" si="29"/>
        <v>17</v>
      </c>
      <c r="Z521" s="33">
        <v>45046</v>
      </c>
      <c r="AA521" s="17">
        <v>71</v>
      </c>
      <c r="AB521" s="17">
        <f t="shared" si="26"/>
        <v>422</v>
      </c>
      <c r="AC521" s="17">
        <f t="shared" si="27"/>
        <v>1027</v>
      </c>
      <c r="AD521" s="34">
        <f t="shared" si="30"/>
        <v>0.16824644549763032</v>
      </c>
      <c r="AE521" s="35">
        <f t="shared" si="31"/>
        <v>6.91333982473223E-2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 151.2.2</cp:lastModifiedBy>
  <dcterms:created xsi:type="dcterms:W3CDTF">2025-11-09T18:40:03Z</dcterms:created>
  <dcterms:modified xsi:type="dcterms:W3CDTF">2026-04-24T18:45:01Z</dcterms:modified>
</cp:coreProperties>
</file>